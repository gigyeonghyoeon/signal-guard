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BS" sheetId="1" state="visible" r:id="rId1"/>
    <sheet xmlns:r="http://schemas.openxmlformats.org/officeDocument/2006/relationships" name="간트" sheetId="2" state="visible" r:id="rId2"/>
    <sheet xmlns:r="http://schemas.openxmlformats.org/officeDocument/2006/relationships" name="요약" sheetId="3" state="visible" r:id="rId3"/>
    <sheet xmlns:r="http://schemas.openxmlformats.org/officeDocument/2006/relationships" name="표지" sheetId="4" state="visible" r:id="rId4"/>
  </sheets>
  <definedNames>
    <definedName name="_xlnm._FilterDatabase" localSheetId="0" hidden="1">'WBS'!$A$4:$R$90</definedName>
    <definedName name="_xlnm.Print_Titles" localSheetId="0">'WBS'!$4:$4</definedName>
    <definedName name="_xlnm.Print_Titles" localSheetId="1">'간트'!$3:$4</definedName>
  </definedNames>
  <calcPr calcId="124519" fullCalcOnLoad="1"/>
</workbook>
</file>

<file path=xl/styles.xml><?xml version="1.0" encoding="utf-8"?>
<styleSheet xmlns="http://schemas.openxmlformats.org/spreadsheetml/2006/main">
  <numFmts count="6">
    <numFmt numFmtId="164" formatCode="yyyy-mm-dd"/>
    <numFmt numFmtId="165" formatCode="YYYY-MM-DD"/>
    <numFmt numFmtId="166" formatCode="0.0"/>
    <numFmt numFmtId="167" formatCode="MM-DD"/>
    <numFmt numFmtId="168" formatCode="&quot;W&quot;0"/>
    <numFmt numFmtId="169" formatCode="M/D"/>
  </numFmts>
  <fonts count="27">
    <font>
      <name val="Calibri"/>
      <family val="2"/>
      <color theme="1"/>
      <sz val="11"/>
      <scheme val="minor"/>
    </font>
    <font>
      <name val="맑은 고딕"/>
      <b val="1"/>
      <color rgb="001B365D"/>
      <sz val="22"/>
    </font>
    <font>
      <name val="맑은 고딕"/>
      <color rgb="005B6570"/>
      <sz val="11"/>
    </font>
    <font>
      <name val="맑은 고딕"/>
      <b val="1"/>
      <color rgb="00FFFFFF"/>
      <sz val="12"/>
    </font>
    <font>
      <name val="맑은 고딕"/>
      <b val="1"/>
      <color rgb="001B365D"/>
      <sz val="10"/>
    </font>
    <font>
      <name val="맑은 고딕"/>
      <color rgb="001A1A1A"/>
      <sz val="10"/>
    </font>
    <font>
      <name val="맑은 고딕"/>
      <b val="1"/>
      <color rgb="001A1A1A"/>
      <sz val="10"/>
    </font>
    <font>
      <name val="맑은 고딕"/>
      <b val="1"/>
      <color rgb="00006100"/>
      <sz val="10"/>
    </font>
    <font>
      <name val="맑은 고딕"/>
      <b val="1"/>
      <color rgb="007A5B00"/>
      <sz val="10"/>
    </font>
    <font>
      <name val="맑은 고딕"/>
      <b val="1"/>
      <color rgb="009C5700"/>
      <sz val="10"/>
    </font>
    <font>
      <name val="맑은 고딕"/>
      <b val="1"/>
      <color rgb="006B7280"/>
      <sz val="10"/>
    </font>
    <font>
      <name val="맑은 고딕"/>
      <b val="1"/>
      <color rgb="001B365D"/>
      <sz val="16"/>
    </font>
    <font>
      <name val="맑은 고딕"/>
      <color rgb="005B6570"/>
      <sz val="10"/>
    </font>
    <font>
      <name val="맑은 고딕"/>
      <b val="1"/>
      <color rgb="00FFFFFF"/>
      <sz val="9"/>
    </font>
    <font>
      <name val="맑은 고딕"/>
      <b val="1"/>
      <color rgb="001A1A1A"/>
      <sz val="9"/>
    </font>
    <font>
      <name val="맑은 고딕"/>
      <b val="1"/>
      <color rgb="001B365D"/>
      <sz val="11"/>
    </font>
    <font>
      <name val="맑은 고딕"/>
      <color rgb="001A1A1A"/>
      <sz val="9"/>
    </font>
    <font>
      <name val="맑은 고딕"/>
      <b val="1"/>
      <color rgb="002E5090"/>
      <sz val="10"/>
    </font>
    <font>
      <name val="맑은 고딕"/>
      <color rgb="006B7280"/>
      <sz val="9"/>
    </font>
    <font>
      <name val="맑은 고딕"/>
      <color rgb="005B6570"/>
      <sz val="9"/>
    </font>
    <font>
      <name val="맑은 고딕"/>
      <b val="1"/>
      <color rgb="00FFFFFF"/>
      <sz val="8"/>
    </font>
    <font>
      <name val="맑은 고딕"/>
      <color rgb="00FFFFFF"/>
      <sz val="8"/>
    </font>
    <font>
      <name val="맑은 고딕"/>
      <b val="1"/>
      <color rgb="002E5090"/>
      <sz val="9"/>
    </font>
    <font>
      <name val="맑은 고딕"/>
      <b val="1"/>
      <color rgb="001B365D"/>
      <sz val="12"/>
    </font>
    <font>
      <name val="맑은 고딕"/>
      <b val="1"/>
      <color rgb="001B365D"/>
      <sz val="9"/>
    </font>
    <font>
      <name val="맑은 고딕"/>
      <b val="1"/>
      <color rgb="001B365D"/>
      <sz val="15"/>
    </font>
    <font>
      <name val="맑은 고딕"/>
      <b val="1"/>
      <color rgb="00FFFFFF"/>
      <sz val="10"/>
    </font>
  </fonts>
  <fills count="13">
    <fill>
      <patternFill/>
    </fill>
    <fill>
      <patternFill patternType="gray125"/>
    </fill>
    <fill>
      <patternFill patternType="solid">
        <fgColor rgb="001B365D"/>
      </patternFill>
    </fill>
    <fill>
      <patternFill patternType="solid">
        <fgColor rgb="00F7F9FC"/>
      </patternFill>
    </fill>
    <fill>
      <patternFill patternType="solid">
        <fgColor rgb="00FFF2CC"/>
      </patternFill>
    </fill>
    <fill>
      <patternFill patternType="solid">
        <fgColor rgb="00C6EFCE"/>
      </patternFill>
    </fill>
    <fill>
      <patternFill patternType="solid">
        <fgColor rgb="00D6E3F0"/>
      </patternFill>
    </fill>
    <fill>
      <patternFill patternType="solid">
        <fgColor rgb="00FCE4D6"/>
      </patternFill>
    </fill>
    <fill>
      <patternFill patternType="solid">
        <fgColor rgb="00EEEEEE"/>
      </patternFill>
    </fill>
    <fill>
      <patternFill patternType="solid">
        <fgColor rgb="00DCE6F1"/>
      </patternFill>
    </fill>
    <fill>
      <patternFill patternType="solid">
        <fgColor rgb="00EEF3F9"/>
      </patternFill>
    </fill>
    <fill>
      <patternFill patternType="solid">
        <fgColor rgb="002E5090"/>
      </patternFill>
    </fill>
    <fill>
      <patternFill patternType="solid">
        <fgColor rgb="00EAF1F8"/>
      </patternFill>
    </fill>
  </fills>
  <borders count="2">
    <border>
      <left/>
      <right/>
      <top/>
      <bottom/>
      <diagonal/>
    </border>
    <border>
      <left style="thin">
        <color rgb="00D0D7DE"/>
      </left>
      <right style="thin">
        <color rgb="00D0D7DE"/>
      </right>
      <top style="thin">
        <color rgb="00D0D7DE"/>
      </top>
      <bottom style="thin">
        <color rgb="00D0D7DE"/>
      </bottom>
    </border>
  </borders>
  <cellStyleXfs count="1">
    <xf numFmtId="0" fontId="0" fillId="0" borderId="0"/>
  </cellStyleXfs>
  <cellXfs count="81">
    <xf numFmtId="0" fontId="0" fillId="0" borderId="0" pivotButton="0" quotePrefix="0" xfId="0"/>
    <xf numFmtId="0" fontId="11" fillId="0" borderId="0" pivotButton="0" quotePrefix="0" xfId="0"/>
    <xf numFmtId="0" fontId="12" fillId="0" borderId="0" pivotButton="0" quotePrefix="0" xfId="0"/>
    <xf numFmtId="0" fontId="13" fillId="2" borderId="1" applyAlignment="1" pivotButton="0" quotePrefix="0" xfId="0">
      <alignment horizontal="center" vertical="center" wrapText="1"/>
    </xf>
    <xf numFmtId="0" fontId="15" fillId="9" borderId="1" applyAlignment="1" pivotButton="0" quotePrefix="0" xfId="0">
      <alignment horizontal="center" vertical="center" wrapText="1"/>
    </xf>
    <xf numFmtId="0" fontId="15" fillId="9" borderId="1" applyAlignment="1" pivotButton="0" quotePrefix="0" xfId="0">
      <alignment horizontal="left" vertical="center" wrapText="1"/>
    </xf>
    <xf numFmtId="166" fontId="15" fillId="9" borderId="1" applyAlignment="1" pivotButton="0" quotePrefix="0" xfId="0">
      <alignment horizontal="center" vertical="center" wrapText="1"/>
    </xf>
    <xf numFmtId="167" fontId="15" fillId="9" borderId="1" applyAlignment="1" pivotButton="0" quotePrefix="0" xfId="0">
      <alignment horizontal="center" vertical="center" wrapText="1"/>
    </xf>
    <xf numFmtId="9" fontId="15" fillId="9" borderId="1" applyAlignment="1" pivotButton="0" quotePrefix="0" xfId="0">
      <alignment horizontal="center" vertical="center" wrapText="1"/>
    </xf>
    <xf numFmtId="0" fontId="16" fillId="0" borderId="1" applyAlignment="1" pivotButton="0" quotePrefix="0" xfId="0">
      <alignment horizontal="center" vertical="center" wrapText="1"/>
    </xf>
    <xf numFmtId="0" fontId="16" fillId="0" borderId="1" applyAlignment="1" pivotButton="0" quotePrefix="0" xfId="0">
      <alignment horizontal="left" vertical="center" wrapText="1" indent="2"/>
    </xf>
    <xf numFmtId="166" fontId="16" fillId="0" borderId="1" applyAlignment="1" pivotButton="0" quotePrefix="0" xfId="0">
      <alignment horizontal="center" vertical="center" wrapText="1"/>
    </xf>
    <xf numFmtId="167" fontId="16" fillId="0" borderId="1" applyAlignment="1" pivotButton="0" quotePrefix="0" xfId="0">
      <alignment horizontal="center" vertical="center" wrapText="1"/>
    </xf>
    <xf numFmtId="0" fontId="16" fillId="0" borderId="1" applyAlignment="1" pivotButton="0" quotePrefix="0" xfId="0">
      <alignment horizontal="left" vertical="center" wrapText="1"/>
    </xf>
    <xf numFmtId="9" fontId="16" fillId="0" borderId="1" applyAlignment="1" pivotButton="0" quotePrefix="0" xfId="0">
      <alignment horizontal="center" vertical="center" wrapText="1"/>
    </xf>
    <xf numFmtId="0" fontId="17" fillId="10" borderId="1" applyAlignment="1" pivotButton="0" quotePrefix="0" xfId="0">
      <alignment horizontal="center" vertical="center" wrapText="1"/>
    </xf>
    <xf numFmtId="0" fontId="17" fillId="10" borderId="1" applyAlignment="1" pivotButton="0" quotePrefix="0" xfId="0">
      <alignment horizontal="left" vertical="center" wrapText="1" indent="2"/>
    </xf>
    <xf numFmtId="166" fontId="17" fillId="10" borderId="1" applyAlignment="1" pivotButton="0" quotePrefix="0" xfId="0">
      <alignment horizontal="center" vertical="center" wrapText="1"/>
    </xf>
    <xf numFmtId="167" fontId="17" fillId="10" borderId="1" applyAlignment="1" pivotButton="0" quotePrefix="0" xfId="0">
      <alignment horizontal="center" vertical="center" wrapText="1"/>
    </xf>
    <xf numFmtId="0" fontId="17" fillId="10" borderId="1" applyAlignment="1" pivotButton="0" quotePrefix="0" xfId="0">
      <alignment horizontal="left" vertical="center" wrapText="1"/>
    </xf>
    <xf numFmtId="9" fontId="17" fillId="10" borderId="1" applyAlignment="1" pivotButton="0" quotePrefix="0" xfId="0">
      <alignment horizontal="center" vertical="center" wrapText="1"/>
    </xf>
    <xf numFmtId="0" fontId="16" fillId="0" borderId="1" applyAlignment="1" pivotButton="0" quotePrefix="0" xfId="0">
      <alignment horizontal="left" vertical="center" wrapText="1" indent="4"/>
    </xf>
    <xf numFmtId="0" fontId="18" fillId="0" borderId="1" applyAlignment="1" pivotButton="0" quotePrefix="0" xfId="0">
      <alignment horizontal="center" vertical="center" wrapText="1"/>
    </xf>
    <xf numFmtId="0" fontId="18" fillId="0" borderId="1" applyAlignment="1" pivotButton="0" quotePrefix="0" xfId="0">
      <alignment horizontal="left" vertical="center" wrapText="1" indent="4"/>
    </xf>
    <xf numFmtId="166" fontId="18" fillId="0" borderId="1" applyAlignment="1" pivotButton="0" quotePrefix="0" xfId="0">
      <alignment horizontal="center" vertical="center" wrapText="1"/>
    </xf>
    <xf numFmtId="167" fontId="18" fillId="0" borderId="1" applyAlignment="1" pivotButton="0" quotePrefix="0" xfId="0">
      <alignment horizontal="center" vertical="center" wrapText="1"/>
    </xf>
    <xf numFmtId="0" fontId="18" fillId="0" borderId="1" applyAlignment="1" pivotButton="0" quotePrefix="0" xfId="0">
      <alignment horizontal="left" vertical="center" wrapText="1"/>
    </xf>
    <xf numFmtId="9" fontId="18" fillId="0" borderId="1" applyAlignment="1" pivotButton="0" quotePrefix="0" xfId="0">
      <alignment horizontal="center" vertical="center" wrapText="1"/>
    </xf>
    <xf numFmtId="0" fontId="19" fillId="0" borderId="0" pivotButton="0" quotePrefix="0" xfId="0"/>
    <xf numFmtId="168" fontId="13" fillId="2" borderId="1" applyAlignment="1" pivotButton="0" quotePrefix="0" xfId="0">
      <alignment horizontal="center" vertical="center" wrapText="1"/>
    </xf>
    <xf numFmtId="0" fontId="20" fillId="11" borderId="1" applyAlignment="1" pivotButton="0" quotePrefix="0" xfId="0">
      <alignment horizontal="center" vertical="center" wrapText="1"/>
    </xf>
    <xf numFmtId="169" fontId="21" fillId="11" borderId="1" applyAlignment="1" pivotButton="0" quotePrefix="0" xfId="0">
      <alignment horizontal="center" vertical="center" wrapText="1"/>
    </xf>
    <xf numFmtId="0" fontId="4" fillId="9" borderId="1" applyAlignment="1" pivotButton="0" quotePrefix="0" xfId="0">
      <alignment horizontal="center" vertical="center" wrapText="1"/>
    </xf>
    <xf numFmtId="0" fontId="4" fillId="9" borderId="1" applyAlignment="1" pivotButton="0" quotePrefix="0" xfId="0">
      <alignment horizontal="left" vertical="center" wrapText="1"/>
    </xf>
    <xf numFmtId="9" fontId="4" fillId="9" borderId="1" applyAlignment="1" pivotButton="0" quotePrefix="0" xfId="0">
      <alignment horizontal="center" vertical="center" wrapText="1"/>
    </xf>
    <xf numFmtId="0" fontId="22" fillId="10" borderId="1" applyAlignment="1" pivotButton="0" quotePrefix="0" xfId="0">
      <alignment horizontal="center" vertical="center" wrapText="1"/>
    </xf>
    <xf numFmtId="0" fontId="22" fillId="10" borderId="1" applyAlignment="1" pivotButton="0" quotePrefix="0" xfId="0">
      <alignment horizontal="left" vertical="center" wrapText="1" indent="2"/>
    </xf>
    <xf numFmtId="9" fontId="22" fillId="10" borderId="1" applyAlignment="1" pivotButton="0" quotePrefix="0" xfId="0">
      <alignment horizontal="center" vertical="center" wrapText="1"/>
    </xf>
    <xf numFmtId="0" fontId="23" fillId="0" borderId="0" pivotButton="0" quotePrefix="0" xfId="0"/>
    <xf numFmtId="0" fontId="24" fillId="3" borderId="1" applyAlignment="1" pivotButton="0" quotePrefix="0" xfId="0">
      <alignment horizontal="center" vertical="center" wrapText="1"/>
    </xf>
    <xf numFmtId="0" fontId="24" fillId="3" borderId="1" applyAlignment="1" pivotButton="0" quotePrefix="0" xfId="0">
      <alignment horizontal="left" vertical="center" wrapText="1"/>
    </xf>
    <xf numFmtId="0" fontId="4" fillId="0" borderId="1" applyAlignment="1" pivotButton="0" quotePrefix="0" xfId="0">
      <alignment horizontal="center" vertical="center" wrapText="1"/>
    </xf>
    <xf numFmtId="0" fontId="13" fillId="11" borderId="1" applyAlignment="1" pivotButton="0" quotePrefix="0" xfId="0">
      <alignment horizontal="center" vertical="center" wrapText="1"/>
    </xf>
    <xf numFmtId="166" fontId="25" fillId="12" borderId="1" applyAlignment="1" pivotButton="0" quotePrefix="0" xfId="0">
      <alignment horizontal="center" vertical="center" wrapText="1"/>
    </xf>
    <xf numFmtId="9" fontId="25" fillId="12" borderId="1" applyAlignment="1" pivotButton="0" quotePrefix="0" xfId="0">
      <alignment horizontal="center" vertical="center" wrapText="1"/>
    </xf>
    <xf numFmtId="1" fontId="25" fillId="12" borderId="1" applyAlignment="1" pivotButton="0" quotePrefix="0" xfId="0">
      <alignment horizontal="center" vertical="center" wrapText="1"/>
    </xf>
    <xf numFmtId="168" fontId="25" fillId="12" borderId="1" applyAlignment="1" pivotButton="0" quotePrefix="0" xfId="0">
      <alignment horizontal="center" vertical="center" wrapText="1"/>
    </xf>
    <xf numFmtId="0" fontId="16" fillId="3" borderId="1" applyAlignment="1" pivotButton="0" quotePrefix="0" xfId="0">
      <alignment horizontal="left" vertical="center" wrapText="1"/>
    </xf>
    <xf numFmtId="0" fontId="16" fillId="3" borderId="1" applyAlignment="1" pivotButton="0" quotePrefix="0" xfId="0">
      <alignment horizontal="center" vertical="center" wrapText="1"/>
    </xf>
    <xf numFmtId="166" fontId="16" fillId="3" borderId="1" applyAlignment="1" pivotButton="0" quotePrefix="0" xfId="0">
      <alignment horizontal="center" vertical="center" wrapText="1"/>
    </xf>
    <xf numFmtId="9" fontId="16" fillId="3" borderId="1" applyAlignment="1" pivotButton="0" quotePrefix="0" xfId="0">
      <alignment horizontal="center" vertical="center" wrapText="1"/>
    </xf>
    <xf numFmtId="0" fontId="26" fillId="2" borderId="1" applyAlignment="1" pivotButton="0" quotePrefix="0" xfId="0">
      <alignment horizontal="left" vertical="center" wrapText="1"/>
    </xf>
    <xf numFmtId="0" fontId="26" fillId="2" borderId="1" applyAlignment="1" pivotButton="0" quotePrefix="0" xfId="0">
      <alignment horizontal="center" vertical="center" wrapText="1"/>
    </xf>
    <xf numFmtId="166" fontId="26" fillId="2" borderId="1" applyAlignment="1" pivotButton="0" quotePrefix="0" xfId="0">
      <alignment horizontal="center" vertical="center" wrapText="1"/>
    </xf>
    <xf numFmtId="9" fontId="26" fillId="2" borderId="1" applyAlignment="1" pivotButton="0" quotePrefix="0" xfId="0">
      <alignment horizontal="center" vertical="center" wrapText="1"/>
    </xf>
    <xf numFmtId="168" fontId="16" fillId="0" borderId="1" applyAlignment="1" pivotButton="0" quotePrefix="0" xfId="0">
      <alignment horizontal="center" vertical="center" wrapText="1"/>
    </xf>
    <xf numFmtId="165" fontId="16" fillId="0" borderId="1" applyAlignment="1" pivotButton="0" quotePrefix="0" xfId="0">
      <alignment horizontal="center" vertical="center" wrapText="1"/>
    </xf>
    <xf numFmtId="0" fontId="0" fillId="3" borderId="1" applyAlignment="1" pivotButton="0" quotePrefix="0" xfId="0">
      <alignment horizontal="left" vertical="center" wrapText="1"/>
    </xf>
    <xf numFmtId="0" fontId="24" fillId="0" borderId="1" applyAlignment="1" pivotButton="0" quotePrefix="0" xfId="0">
      <alignment horizontal="left" vertical="center" wrapText="1"/>
    </xf>
    <xf numFmtId="0" fontId="0" fillId="0" borderId="1" applyAlignment="1" pivotButton="0" quotePrefix="0" xfId="0">
      <alignment horizontal="left" vertical="center" wrapText="1"/>
    </xf>
    <xf numFmtId="0" fontId="1" fillId="0" borderId="0" pivotButton="0" quotePrefix="0" xfId="0"/>
    <xf numFmtId="0" fontId="2" fillId="0" borderId="0" pivotButton="0" quotePrefix="0" xfId="0"/>
    <xf numFmtId="0" fontId="3" fillId="2" borderId="1" pivotButton="0" quotePrefix="0" xfId="0"/>
    <xf numFmtId="0" fontId="0" fillId="2" borderId="1" pivotButton="0" quotePrefix="0" xfId="0"/>
    <xf numFmtId="0" fontId="4" fillId="3" borderId="1" applyAlignment="1" pivotButton="0" quotePrefix="0" xfId="0">
      <alignment horizontal="left" vertical="center" wrapText="1"/>
    </xf>
    <xf numFmtId="0" fontId="5" fillId="0" borderId="1" applyAlignment="1" pivotButton="0" quotePrefix="0" xfId="0">
      <alignment horizontal="left" vertical="center" wrapText="1"/>
    </xf>
    <xf numFmtId="0" fontId="0" fillId="0" borderId="1" pivotButton="0" quotePrefix="0" xfId="0"/>
    <xf numFmtId="165" fontId="6" fillId="4" borderId="1" applyAlignment="1" pivotButton="0" quotePrefix="0" xfId="0">
      <alignment horizontal="left" vertical="center" wrapText="1"/>
    </xf>
    <xf numFmtId="0" fontId="0" fillId="4" borderId="1" pivotButton="0" quotePrefix="0" xfId="0"/>
    <xf numFmtId="0" fontId="6" fillId="3" borderId="1" applyAlignment="1" pivotButton="0" quotePrefix="0" xfId="0">
      <alignment horizontal="center" vertical="center" wrapText="1"/>
    </xf>
    <xf numFmtId="0" fontId="5" fillId="3" borderId="1" applyAlignment="1" pivotButton="0" quotePrefix="0" xfId="0">
      <alignment horizontal="left" vertical="center" wrapText="1"/>
    </xf>
    <xf numFmtId="0" fontId="0" fillId="3" borderId="1" pivotButton="0" quotePrefix="0" xfId="0"/>
    <xf numFmtId="0" fontId="6" fillId="0" borderId="1" applyAlignment="1" pivotButton="0" quotePrefix="0" xfId="0">
      <alignment horizontal="center" vertical="center" wrapText="1"/>
    </xf>
    <xf numFmtId="0" fontId="5" fillId="0" borderId="0" applyAlignment="1" pivotButton="0" quotePrefix="0" xfId="0">
      <alignment horizontal="left" vertical="center" wrapText="1"/>
    </xf>
    <xf numFmtId="0" fontId="7" fillId="5" borderId="1" applyAlignment="1" pivotButton="0" quotePrefix="0" xfId="0">
      <alignment horizontal="center" vertical="center" wrapText="1"/>
    </xf>
    <xf numFmtId="0" fontId="8" fillId="4" borderId="1" applyAlignment="1" pivotButton="0" quotePrefix="0" xfId="0">
      <alignment horizontal="center" vertical="center" wrapText="1"/>
    </xf>
    <xf numFmtId="0" fontId="4" fillId="6" borderId="1" applyAlignment="1" pivotButton="0" quotePrefix="0" xfId="0">
      <alignment horizontal="center" vertical="center" wrapText="1"/>
    </xf>
    <xf numFmtId="0" fontId="9" fillId="7" borderId="1" applyAlignment="1" pivotButton="0" quotePrefix="0" xfId="0">
      <alignment horizontal="center" vertical="center" wrapText="1"/>
    </xf>
    <xf numFmtId="0" fontId="10" fillId="8" borderId="1" applyAlignment="1" pivotButton="0" quotePrefix="0" xfId="0">
      <alignment horizontal="center" vertical="center" wrapText="1"/>
    </xf>
    <xf numFmtId="0" fontId="7" fillId="5" borderId="1" applyAlignment="1" pivotButton="0" quotePrefix="0" xfId="0">
      <alignment horizontal="left" vertical="top" wrapText="1"/>
    </xf>
    <xf numFmtId="0" fontId="0" fillId="5" borderId="1" pivotButton="0" quotePrefix="0" xfId="0"/>
  </cellXfs>
  <cellStyles count="1">
    <cellStyle name="Normal" xfId="0" builtinId="0" hidden="0"/>
  </cellStyles>
  <dxfs count="11">
    <dxf>
      <font>
        <name val="맑은 고딕"/>
        <b val="1"/>
        <color rgb="00006100"/>
        <sz val="9"/>
      </font>
      <fill>
        <patternFill patternType="solid">
          <fgColor rgb="00C6EFCE"/>
        </patternFill>
      </fill>
    </dxf>
    <dxf>
      <font>
        <name val="맑은 고딕"/>
        <b val="1"/>
        <color rgb="007A5B00"/>
        <sz val="9"/>
      </font>
      <fill>
        <patternFill patternType="solid">
          <fgColor rgb="00FFF2CC"/>
        </patternFill>
      </fill>
    </dxf>
    <dxf>
      <font>
        <name val="맑은 고딕"/>
        <b val="1"/>
        <color rgb="001B365D"/>
        <sz val="9"/>
      </font>
      <fill>
        <patternFill patternType="solid">
          <fgColor rgb="00D6E3F0"/>
        </patternFill>
      </fill>
    </dxf>
    <dxf>
      <font>
        <name val="맑은 고딕"/>
        <b val="1"/>
        <color rgb="009C5700"/>
        <sz val="9"/>
      </font>
      <fill>
        <patternFill patternType="solid">
          <fgColor rgb="00FCE4D6"/>
        </patternFill>
      </fill>
    </dxf>
    <dxf>
      <font>
        <name val="맑은 고딕"/>
        <b val="1"/>
        <color rgb="006B7280"/>
        <sz val="9"/>
      </font>
      <fill>
        <patternFill patternType="solid">
          <fgColor rgb="00EEEEEE"/>
        </patternFill>
      </fill>
    </dxf>
    <dxf>
      <font>
        <name val="맑은 고딕"/>
        <color rgb="007A5B00"/>
        <sz val="9"/>
      </font>
      <fill>
        <patternFill patternType="solid">
          <fgColor rgb="00FFF2CC"/>
        </patternFill>
      </fill>
    </dxf>
    <dxf>
      <font>
        <name val="맑은 고딕"/>
        <color rgb="006B7280"/>
        <sz val="9"/>
      </font>
      <fill>
        <patternFill patternType="solid">
          <fgColor rgb="00EEEEEE"/>
        </patternFill>
      </fill>
    </dxf>
    <dxf>
      <font>
        <name val="맑은 고딕"/>
        <b val="1"/>
        <color rgb="00FFFFFF"/>
        <sz val="9"/>
      </font>
      <fill>
        <patternFill patternType="solid">
          <fgColor rgb="001B365D"/>
        </patternFill>
      </fill>
    </dxf>
    <dxf>
      <fill>
        <patternFill patternType="solid">
          <fgColor rgb="00FFF9E6"/>
        </patternFill>
      </fill>
    </dxf>
    <dxf>
      <font>
        <name val="맑은 고딕"/>
        <b val="1"/>
        <color rgb="009C2A2A"/>
        <sz val="9"/>
      </font>
      <fill>
        <patternFill patternType="solid">
          <fgColor rgb="00F8D7DA"/>
        </patternFill>
      </fill>
    </dxf>
    <dxf>
      <font>
        <name val="맑은 고딕"/>
        <color rgb="00006100"/>
        <sz val="9"/>
      </font>
      <fill>
        <patternFill patternType="solid">
          <f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단계별 인일 (계획 vs 획득)</a:t>
            </a:r>
          </a:p>
        </rich>
      </tx>
    </title>
    <plotArea>
      <barChart>
        <barDir val="col"/>
        <grouping val="clustered"/>
        <ser>
          <idx val="0"/>
          <order val="0"/>
          <tx>
            <strRef>
              <f>'요약'!D7</f>
            </strRef>
          </tx>
          <spPr>
            <a:ln xmlns:a="http://schemas.openxmlformats.org/drawingml/2006/main">
              <a:prstDash val="solid"/>
            </a:ln>
          </spPr>
          <cat>
            <numRef>
              <f>'요약'!$B$8:$B$13</f>
            </numRef>
          </cat>
          <val>
            <numRef>
              <f>'요약'!$D$8:$D$13</f>
            </numRef>
          </val>
        </ser>
        <ser>
          <idx val="1"/>
          <order val="1"/>
          <tx>
            <strRef>
              <f>'요약'!E7</f>
            </strRef>
          </tx>
          <spPr>
            <a:ln xmlns:a="http://schemas.openxmlformats.org/drawingml/2006/main">
              <a:prstDash val="solid"/>
            </a:ln>
          </spPr>
          <cat>
            <numRef>
              <f>'요약'!$B$8:$B$13</f>
            </numRef>
          </cat>
          <val>
            <numRef>
              <f>'요약'!$E$8:$E$13</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인일</a:t>
                </a:r>
              </a:p>
            </rich>
          </tx>
        </title>
        <majorTickMark val="none"/>
        <minorTickMark val="none"/>
        <crossAx val="10"/>
      </valAx>
    </plotArea>
    <legend>
      <legendPos val="b"/>
    </legend>
    <plotVisOnly val="1"/>
    <dispBlanksAs val="gap"/>
  </chart>
</chartSpace>
</file>

<file path=xl/charts/chart2.xml><?xml version="1.0" encoding="utf-8"?>
<chartSpace xmlns="http://schemas.openxmlformats.org/drawingml/2006/chart">
  <style val="12"/>
  <chart>
    <title>
      <tx>
        <rich>
          <a:bodyPr xmlns:a="http://schemas.openxmlformats.org/drawingml/2006/main"/>
          <a:p xmlns:a="http://schemas.openxmlformats.org/drawingml/2006/main">
            <a:pPr>
              <a:defRPr/>
            </a:pPr>
            <a:r>
              <a:t>주차별 인일 부하 vs 팀 가용</a:t>
            </a:r>
          </a:p>
        </rich>
      </tx>
    </title>
    <plotArea>
      <lineChart>
        <grouping val="standard"/>
        <ser>
          <idx val="0"/>
          <order val="0"/>
          <tx>
            <strRef>
              <f>'요약'!C35</f>
            </strRef>
          </tx>
          <spPr>
            <a:ln xmlns:a="http://schemas.openxmlformats.org/drawingml/2006/main">
              <a:prstDash val="solid"/>
            </a:ln>
          </spPr>
          <marker>
            <symbol val="none"/>
            <spPr>
              <a:ln xmlns:a="http://schemas.openxmlformats.org/drawingml/2006/main">
                <a:prstDash val="solid"/>
              </a:ln>
            </spPr>
          </marker>
          <cat>
            <numRef>
              <f>'요약'!$B$36:$B$50</f>
            </numRef>
          </cat>
          <val>
            <numRef>
              <f>'요약'!$C$36:$C$50</f>
            </numRef>
          </val>
        </ser>
        <ser>
          <idx val="1"/>
          <order val="1"/>
          <tx>
            <strRef>
              <f>'요약'!D35</f>
            </strRef>
          </tx>
          <spPr>
            <a:ln xmlns:a="http://schemas.openxmlformats.org/drawingml/2006/main">
              <a:prstDash val="solid"/>
            </a:ln>
          </spPr>
          <marker>
            <symbol val="none"/>
            <spPr>
              <a:ln xmlns:a="http://schemas.openxmlformats.org/drawingml/2006/main">
                <a:prstDash val="solid"/>
              </a:ln>
            </spPr>
          </marker>
          <cat>
            <numRef>
              <f>'요약'!$B$36:$B$50</f>
            </numRef>
          </cat>
          <val>
            <numRef>
              <f>'요약'!$D$36:$D$50</f>
            </numRef>
          </val>
        </ser>
        <axId val="10"/>
        <axId val="100"/>
      </lineChart>
      <catAx>
        <axId val="10"/>
        <scaling>
          <orientation val="minMax"/>
        </scaling>
        <axPos val="l"/>
        <title>
          <tx>
            <rich>
              <a:bodyPr xmlns:a="http://schemas.openxmlformats.org/drawingml/2006/main"/>
              <a:p xmlns:a="http://schemas.openxmlformats.org/drawingml/2006/main">
                <a:pPr>
                  <a:defRPr/>
                </a:pPr>
                <a:r>
                  <a:t>주차</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인일</a:t>
                </a:r>
              </a:p>
            </rich>
          </tx>
        </title>
        <majorTickMark val="none"/>
        <minorTickMark val="none"/>
        <crossAx val="10"/>
      </valAx>
    </plotArea>
    <legend>
      <legendPos val="b"/>
    </legend>
    <plotVisOnly val="1"/>
    <dispBlanksAs val="gap"/>
  </chart>
</chartSpace>
</file>

<file path=xl/charts/chart3.xml><?xml version="1.0" encoding="utf-8"?>
<chartSpace xmlns="http://schemas.openxmlformats.org/drawingml/2006/chart">
  <style val="11"/>
  <chart>
    <title>
      <tx>
        <rich>
          <a:bodyPr xmlns:a="http://schemas.openxmlformats.org/drawingml/2006/main"/>
          <a:p xmlns:a="http://schemas.openxmlformats.org/drawingml/2006/main">
            <a:pPr>
              <a:defRPr/>
            </a:pPr>
            <a:r>
              <a:t>구현 활동별 계획 인일</a:t>
            </a:r>
          </a:p>
        </rich>
      </tx>
    </title>
    <plotArea>
      <barChart>
        <barDir val="bar"/>
        <grouping val="clustered"/>
        <ser>
          <idx val="0"/>
          <order val="0"/>
          <tx>
            <strRef>
              <f>'요약'!D24</f>
            </strRef>
          </tx>
          <spPr>
            <a:ln xmlns:a="http://schemas.openxmlformats.org/drawingml/2006/main">
              <a:prstDash val="solid"/>
            </a:ln>
          </spPr>
          <cat>
            <numRef>
              <f>'요약'!$B$25:$B$32</f>
            </numRef>
          </cat>
          <val>
            <numRef>
              <f>'요약'!$D$25:$D$32</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s>
</file>

<file path=xl/drawings/drawing1.xml><?xml version="1.0" encoding="utf-8"?>
<wsDr xmlns="http://schemas.openxmlformats.org/drawingml/2006/spreadsheetDrawing">
  <oneCellAnchor>
    <from>
      <col>8</col>
      <colOff>0</colOff>
      <row>2</row>
      <rowOff>0</rowOff>
    </from>
    <ext cx="468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8</col>
      <colOff>0</colOff>
      <row>18</row>
      <rowOff>0</rowOff>
    </from>
    <ext cx="4680000" cy="270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8</col>
      <colOff>0</colOff>
      <row>34</row>
      <rowOff>0</rowOff>
    </from>
    <ext cx="468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tabColor rgb="001B365D"/>
    <outlinePr summaryBelow="0" summaryRight="1"/>
    <pageSetUpPr fitToPage="1"/>
  </sheetPr>
  <dimension ref="A1:R90"/>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9" customWidth="1" min="1" max="1"/>
    <col width="7" customWidth="1" min="2" max="2"/>
    <col width="44" customWidth="1" min="3" max="3"/>
    <col width="11" customWidth="1" min="4" max="4"/>
    <col width="13" customWidth="1" min="5" max="5"/>
    <col width="7" customWidth="1" min="6" max="6"/>
    <col width="7" customWidth="1" min="7" max="7"/>
    <col width="7" customWidth="1" min="8" max="8"/>
    <col width="11" customWidth="1" min="9" max="9"/>
    <col width="11" customWidth="1" min="10" max="10"/>
    <col width="9" customWidth="1" min="11" max="11"/>
    <col width="15" customWidth="1" min="12" max="12"/>
    <col width="22" customWidth="1" min="13" max="13"/>
    <col width="15" customWidth="1" min="14" max="14"/>
    <col width="9" customWidth="1" min="15" max="15"/>
    <col width="8" customWidth="1" min="16" max="16"/>
    <col width="9" customWidth="1" min="17" max="17"/>
    <col width="26" customWidth="1" min="18" max="18"/>
  </cols>
  <sheetData>
    <row r="1" ht="26" customHeight="1">
      <c r="A1" s="1" t="inlineStr">
        <is>
          <t>작업분류체계 (WBS) — 단계 · 활동 · 작업패키지</t>
        </is>
      </c>
    </row>
    <row r="2" ht="18" customHeight="1">
      <c r="A2" s="2">
        <f>" 확정 계획 "&amp;TEXT(요약!D14,"0.0")&amp;"인일  |  작업패키지 "&amp;TEXT(COUNTIFS($B$5:$B$90,"작업"),"0")&amp;"개  |  진척 "&amp;TEXT(요약!F14,"0%")&amp;"  |  현재 "&amp;TEXT(표지!C16,"0")&amp;"주차  |  주 최대 부하 "&amp;TEXT(MAX(요약!C36:C50),"0.0")&amp;"인일  |  파란 배경 행은 수식(합계)이므로 직접 고치지 마세요."</f>
        <v/>
      </c>
    </row>
    <row r="4" ht="30" customHeight="1">
      <c r="A4" s="3" t="inlineStr">
        <is>
          <t>WBS ID</t>
        </is>
      </c>
      <c r="B4" s="3" t="inlineStr">
        <is>
          <t>구분</t>
        </is>
      </c>
      <c r="C4" s="3" t="inlineStr">
        <is>
          <t>작업 항목</t>
        </is>
      </c>
      <c r="D4" s="3" t="inlineStr">
        <is>
          <t>단계</t>
        </is>
      </c>
      <c r="E4" s="3" t="inlineStr">
        <is>
          <t>활동</t>
        </is>
      </c>
      <c r="F4" s="3" t="inlineStr">
        <is>
          <t>인일</t>
        </is>
      </c>
      <c r="G4" s="3" t="inlineStr">
        <is>
          <t>시작주</t>
        </is>
      </c>
      <c r="H4" s="3" t="inlineStr">
        <is>
          <t>종료주</t>
        </is>
      </c>
      <c r="I4" s="3" t="inlineStr">
        <is>
          <t>시작일</t>
        </is>
      </c>
      <c r="J4" s="3" t="inlineStr">
        <is>
          <t>종료일</t>
        </is>
      </c>
      <c r="K4" s="3" t="inlineStr">
        <is>
          <t>담당</t>
        </is>
      </c>
      <c r="L4" s="3" t="inlineStr">
        <is>
          <t>선행 작업</t>
        </is>
      </c>
      <c r="M4" s="3" t="inlineStr">
        <is>
          <t>산출물</t>
        </is>
      </c>
      <c r="N4" s="3" t="inlineStr">
        <is>
          <t>관련 백로그</t>
        </is>
      </c>
      <c r="O4" s="3" t="inlineStr">
        <is>
          <t>상태</t>
        </is>
      </c>
      <c r="P4" s="3" t="inlineStr">
        <is>
          <t>진행률</t>
        </is>
      </c>
      <c r="Q4" s="3" t="inlineStr">
        <is>
          <t>획득인일</t>
        </is>
      </c>
      <c r="R4" s="3" t="inlineStr">
        <is>
          <t>비고</t>
        </is>
      </c>
    </row>
    <row r="5" ht="20" customHeight="1">
      <c r="A5" s="4" t="inlineStr">
        <is>
          <t>1</t>
        </is>
      </c>
      <c r="B5" s="4" t="inlineStr">
        <is>
          <t>단계</t>
        </is>
      </c>
      <c r="C5" s="5" t="inlineStr">
        <is>
          <t>프로젝트 관리</t>
        </is>
      </c>
      <c r="D5" s="4" t="inlineStr">
        <is>
          <t>프로젝트 관리</t>
        </is>
      </c>
      <c r="E5" s="4" t="inlineStr"/>
      <c r="F5" s="6">
        <f>SUMIFS($F$5:$F$90,$B$5:$B$90,"작업",$D$5:$D$90,$D5,$O$5:$O$90,"&lt;&gt;제외",$O$5:$O$90,"&lt;&gt;보류")</f>
        <v/>
      </c>
      <c r="G5" s="4">
        <f>MIN(G6:G9)</f>
        <v/>
      </c>
      <c r="H5" s="4">
        <f>MAX(H6:H9)</f>
        <v/>
      </c>
      <c r="I5" s="7">
        <f>표지!$C$15+7*(G5-1)</f>
        <v/>
      </c>
      <c r="J5" s="7">
        <f>표지!$C$15+7*(H5-1)+6</f>
        <v/>
      </c>
      <c r="K5" s="4" t="inlineStr">
        <is>
          <t>공동</t>
        </is>
      </c>
      <c r="L5" s="5" t="n"/>
      <c r="M5" s="5" t="n"/>
      <c r="N5" s="4" t="n"/>
      <c r="O5" s="4">
        <f>IF($F5=0,"-",IF($Q5&gt;=$F5,"완료",IF($Q5&gt;0,"진행중","대기")))</f>
        <v/>
      </c>
      <c r="P5" s="8">
        <f>IF($F5=0,0,$Q5/$F5)</f>
        <v/>
      </c>
      <c r="Q5" s="6">
        <f>SUMIFS($Q$5:$Q$90,$B$5:$B$90,"작업",$D$5:$D$90,$D5,$O$5:$O$90,"&lt;&gt;제외",$O$5:$O$90,"&lt;&gt;보류")</f>
        <v/>
      </c>
      <c r="R5" s="5">
        <f>TEXT(COUNTIFS($B$5:$B$90,"작업",$D$5:$D$90,$D5),"0")&amp;"개 작업패키지 합계"</f>
        <v/>
      </c>
    </row>
    <row r="6" outlineLevel="1" ht="24" customHeight="1">
      <c r="A6" s="9" t="inlineStr">
        <is>
          <t>1.1</t>
        </is>
      </c>
      <c r="B6" s="9" t="inlineStr">
        <is>
          <t>작업</t>
        </is>
      </c>
      <c r="C6" s="10" t="inlineStr">
        <is>
          <t>주간 스프린트 운영(목표·리뷰·보드)</t>
        </is>
      </c>
      <c r="D6" s="9" t="inlineStr">
        <is>
          <t>프로젝트 관리</t>
        </is>
      </c>
      <c r="E6" s="9" t="inlineStr"/>
      <c r="F6" s="11" t="n">
        <v>1.5</v>
      </c>
      <c r="G6" s="9" t="n">
        <v>1</v>
      </c>
      <c r="H6" s="9" t="n">
        <v>15</v>
      </c>
      <c r="I6" s="12">
        <f>표지!$C$15+7*(G6-1)</f>
        <v/>
      </c>
      <c r="J6" s="12">
        <f>표지!$C$15+7*(H6-1)+6</f>
        <v/>
      </c>
      <c r="K6" s="9" t="inlineStr">
        <is>
          <t>조찬희</t>
        </is>
      </c>
      <c r="L6" s="13" t="inlineStr">
        <is>
          <t>-</t>
        </is>
      </c>
      <c r="M6" s="13" t="inlineStr">
        <is>
          <t>주간 기록</t>
        </is>
      </c>
      <c r="N6" s="9" t="inlineStr"/>
      <c r="O6" s="9" t="inlineStr">
        <is>
          <t>진행중</t>
        </is>
      </c>
      <c r="P6" s="14" t="n">
        <v>0.1</v>
      </c>
      <c r="Q6" s="11">
        <f>IF(OR($O6="제외",$O6="보류"),0,$F6*$P6)</f>
        <v/>
      </c>
      <c r="R6" s="13" t="inlineStr">
        <is>
          <t>15주 분산, 주 1회 리뷰</t>
        </is>
      </c>
    </row>
    <row r="7" outlineLevel="1" ht="24" customHeight="1">
      <c r="A7" s="9" t="inlineStr">
        <is>
          <t>1.2</t>
        </is>
      </c>
      <c r="B7" s="9" t="inlineStr">
        <is>
          <t>작업</t>
        </is>
      </c>
      <c r="C7" s="10" t="inlineStr">
        <is>
          <t>저장소·PR 규칙, 이슈 트래킹</t>
        </is>
      </c>
      <c r="D7" s="9" t="inlineStr">
        <is>
          <t>프로젝트 관리</t>
        </is>
      </c>
      <c r="E7" s="9" t="inlineStr"/>
      <c r="F7" s="11" t="n">
        <v>0.5</v>
      </c>
      <c r="G7" s="9" t="n">
        <v>4</v>
      </c>
      <c r="H7" s="9" t="n">
        <v>6</v>
      </c>
      <c r="I7" s="12">
        <f>표지!$C$15+7*(G7-1)</f>
        <v/>
      </c>
      <c r="J7" s="12">
        <f>표지!$C$15+7*(H7-1)+6</f>
        <v/>
      </c>
      <c r="K7" s="9" t="inlineStr">
        <is>
          <t>공동</t>
        </is>
      </c>
      <c r="L7" s="13" t="inlineStr">
        <is>
          <t>1.1</t>
        </is>
      </c>
      <c r="M7" s="13" t="inlineStr">
        <is>
          <t>CONTRIBUTING/README</t>
        </is>
      </c>
      <c r="N7" s="9" t="inlineStr"/>
      <c r="O7" s="9" t="inlineStr">
        <is>
          <t>대기</t>
        </is>
      </c>
      <c r="P7" s="14" t="n">
        <v>0</v>
      </c>
      <c r="Q7" s="11">
        <f>IF(OR($O7="제외",$O7="보류"),0,$F7*$P7)</f>
        <v/>
      </c>
      <c r="R7" s="13" t="inlineStr">
        <is>
          <t>3주 분산</t>
        </is>
      </c>
    </row>
    <row r="8" outlineLevel="1" ht="24" customHeight="1">
      <c r="A8" s="9" t="inlineStr">
        <is>
          <t>1.3</t>
        </is>
      </c>
      <c r="B8" s="9" t="inlineStr">
        <is>
          <t>작업</t>
        </is>
      </c>
      <c r="C8" s="10" t="inlineStr">
        <is>
          <t>위험·이슈 추적(UTIC, 쿼터, API 장애)</t>
        </is>
      </c>
      <c r="D8" s="9" t="inlineStr">
        <is>
          <t>프로젝트 관리</t>
        </is>
      </c>
      <c r="E8" s="9" t="inlineStr"/>
      <c r="F8" s="11" t="n">
        <v>0.5</v>
      </c>
      <c r="G8" s="9" t="n">
        <v>1</v>
      </c>
      <c r="H8" s="9" t="n">
        <v>15</v>
      </c>
      <c r="I8" s="12">
        <f>표지!$C$15+7*(G8-1)</f>
        <v/>
      </c>
      <c r="J8" s="12">
        <f>표지!$C$15+7*(H8-1)+6</f>
        <v/>
      </c>
      <c r="K8" s="9" t="inlineStr">
        <is>
          <t>조찬희</t>
        </is>
      </c>
      <c r="L8" s="13" t="inlineStr">
        <is>
          <t>-</t>
        </is>
      </c>
      <c r="M8" s="13" t="inlineStr">
        <is>
          <t>위험 대장</t>
        </is>
      </c>
      <c r="N8" s="9" t="inlineStr"/>
      <c r="O8" s="9" t="inlineStr">
        <is>
          <t>진행중</t>
        </is>
      </c>
      <c r="P8" s="14" t="n">
        <v>0.1</v>
      </c>
      <c r="Q8" s="11">
        <f>IF(OR($O8="제외",$O8="보류"),0,$F8*$P8)</f>
        <v/>
      </c>
      <c r="R8" s="13" t="inlineStr">
        <is>
          <t>전 기간 분산</t>
        </is>
      </c>
    </row>
    <row r="9" outlineLevel="1" ht="24" customHeight="1">
      <c r="A9" s="9" t="inlineStr">
        <is>
          <t>1.4</t>
        </is>
      </c>
      <c r="B9" s="9" t="inlineStr">
        <is>
          <t>작업</t>
        </is>
      </c>
      <c r="C9" s="10" t="inlineStr">
        <is>
          <t>단계 산출물 취합·제출</t>
        </is>
      </c>
      <c r="D9" s="9" t="inlineStr">
        <is>
          <t>프로젝트 관리</t>
        </is>
      </c>
      <c r="E9" s="9" t="inlineStr"/>
      <c r="F9" s="11" t="n">
        <v>1</v>
      </c>
      <c r="G9" s="9" t="n">
        <v>3</v>
      </c>
      <c r="H9" s="9" t="n">
        <v>15</v>
      </c>
      <c r="I9" s="12">
        <f>표지!$C$15+7*(G9-1)</f>
        <v/>
      </c>
      <c r="J9" s="12">
        <f>표지!$C$15+7*(H9-1)+6</f>
        <v/>
      </c>
      <c r="K9" s="9" t="inlineStr">
        <is>
          <t>조찬희</t>
        </is>
      </c>
      <c r="L9" s="13" t="inlineStr">
        <is>
          <t>2.5</t>
        </is>
      </c>
      <c r="M9" s="13" t="inlineStr">
        <is>
          <t>제출 묶음</t>
        </is>
      </c>
      <c r="N9" s="9" t="inlineStr"/>
      <c r="O9" s="9" t="inlineStr">
        <is>
          <t>대기</t>
        </is>
      </c>
      <c r="P9" s="14" t="n">
        <v>0</v>
      </c>
      <c r="Q9" s="11">
        <f>IF(OR($O9="제외",$O9="보류"),0,$F9*$P9)</f>
        <v/>
      </c>
      <c r="R9" s="13" t="inlineStr">
        <is>
          <t>주 3·5·11·13·15</t>
        </is>
      </c>
    </row>
    <row r="10" ht="20" customHeight="1">
      <c r="A10" s="4" t="inlineStr">
        <is>
          <t>2</t>
        </is>
      </c>
      <c r="B10" s="4" t="inlineStr">
        <is>
          <t>단계</t>
        </is>
      </c>
      <c r="C10" s="5" t="inlineStr">
        <is>
          <t>분석</t>
        </is>
      </c>
      <c r="D10" s="4" t="inlineStr">
        <is>
          <t>분석</t>
        </is>
      </c>
      <c r="E10" s="4" t="inlineStr"/>
      <c r="F10" s="6">
        <f>SUMIFS($F$5:$F$90,$B$5:$B$90,"작업",$D$5:$D$90,$D10,$O$5:$O$90,"&lt;&gt;제외",$O$5:$O$90,"&lt;&gt;보류")</f>
        <v/>
      </c>
      <c r="G10" s="4">
        <f>MIN(G11:G15)</f>
        <v/>
      </c>
      <c r="H10" s="4">
        <f>MAX(H11:H15)</f>
        <v/>
      </c>
      <c r="I10" s="7">
        <f>표지!$C$15+7*(G10-1)</f>
        <v/>
      </c>
      <c r="J10" s="7">
        <f>표지!$C$15+7*(H10-1)+6</f>
        <v/>
      </c>
      <c r="K10" s="4" t="inlineStr">
        <is>
          <t>공동</t>
        </is>
      </c>
      <c r="L10" s="5" t="n"/>
      <c r="M10" s="5" t="n"/>
      <c r="N10" s="4" t="n"/>
      <c r="O10" s="4">
        <f>IF($F10=0,"-",IF($Q10&gt;=$F10,"완료",IF($Q10&gt;0,"진행중","대기")))</f>
        <v/>
      </c>
      <c r="P10" s="8">
        <f>IF($F10=0,0,$Q10/$F10)</f>
        <v/>
      </c>
      <c r="Q10" s="6">
        <f>SUMIFS($Q$5:$Q$90,$B$5:$B$90,"작업",$D$5:$D$90,$D10,$O$5:$O$90,"&lt;&gt;제외",$O$5:$O$90,"&lt;&gt;보류")</f>
        <v/>
      </c>
      <c r="R10" s="5">
        <f>TEXT(COUNTIFS($B$5:$B$90,"작업",$D$5:$D$90,$D10),"0")&amp;"개 작업패키지 합계"</f>
        <v/>
      </c>
    </row>
    <row r="11" outlineLevel="1" ht="24" customHeight="1">
      <c r="A11" s="9" t="inlineStr">
        <is>
          <t>2.1</t>
        </is>
      </c>
      <c r="B11" s="9" t="inlineStr">
        <is>
          <t>작업</t>
        </is>
      </c>
      <c r="C11" s="10" t="inlineStr">
        <is>
          <t>RFP 39건 요구사항 대응</t>
        </is>
      </c>
      <c r="D11" s="9" t="inlineStr">
        <is>
          <t>분석</t>
        </is>
      </c>
      <c r="E11" s="9" t="inlineStr"/>
      <c r="F11" s="11" t="n">
        <v>2</v>
      </c>
      <c r="G11" s="9" t="n">
        <v>1</v>
      </c>
      <c r="H11" s="9" t="n">
        <v>2</v>
      </c>
      <c r="I11" s="12">
        <f>표지!$C$15+7*(G11-1)</f>
        <v/>
      </c>
      <c r="J11" s="12">
        <f>표지!$C$15+7*(H11-1)+6</f>
        <v/>
      </c>
      <c r="K11" s="9" t="inlineStr">
        <is>
          <t>공동</t>
        </is>
      </c>
      <c r="L11" s="13" t="inlineStr">
        <is>
          <t>-</t>
        </is>
      </c>
      <c r="M11" s="13" t="inlineStr">
        <is>
          <t>제안요청서요구사항대응표.md</t>
        </is>
      </c>
      <c r="N11" s="9" t="inlineStr"/>
      <c r="O11" s="9" t="inlineStr">
        <is>
          <t>완료</t>
        </is>
      </c>
      <c r="P11" s="14" t="n">
        <v>1</v>
      </c>
      <c r="Q11" s="11">
        <f>IF(OR($O11="제외",$O11="보류"),0,$F11*$P11)</f>
        <v/>
      </c>
      <c r="R11" s="13" t="inlineStr"/>
    </row>
    <row r="12" outlineLevel="1" ht="24" customHeight="1">
      <c r="A12" s="9" t="inlineStr">
        <is>
          <t>2.2</t>
        </is>
      </c>
      <c r="B12" s="9" t="inlineStr">
        <is>
          <t>작업</t>
        </is>
      </c>
      <c r="C12" s="10" t="inlineStr">
        <is>
          <t>범위·목표·데이터 정의</t>
        </is>
      </c>
      <c r="D12" s="9" t="inlineStr">
        <is>
          <t>분석</t>
        </is>
      </c>
      <c r="E12" s="9" t="inlineStr"/>
      <c r="F12" s="11" t="n">
        <v>2</v>
      </c>
      <c r="G12" s="9" t="n">
        <v>1</v>
      </c>
      <c r="H12" s="9" t="n">
        <v>1</v>
      </c>
      <c r="I12" s="12">
        <f>표지!$C$15+7*(G12-1)</f>
        <v/>
      </c>
      <c r="J12" s="12">
        <f>표지!$C$15+7*(H12-1)+6</f>
        <v/>
      </c>
      <c r="K12" s="9" t="inlineStr">
        <is>
          <t>공동</t>
        </is>
      </c>
      <c r="L12" s="13" t="inlineStr">
        <is>
          <t>-</t>
        </is>
      </c>
      <c r="M12" s="13" t="inlineStr">
        <is>
          <t>프로젝트정의서.md</t>
        </is>
      </c>
      <c r="N12" s="9" t="inlineStr"/>
      <c r="O12" s="9" t="inlineStr">
        <is>
          <t>완료</t>
        </is>
      </c>
      <c r="P12" s="14" t="n">
        <v>1</v>
      </c>
      <c r="Q12" s="11">
        <f>IF(OR($O12="제외",$O12="보류"),0,$F12*$P12)</f>
        <v/>
      </c>
      <c r="R12" s="13" t="inlineStr"/>
    </row>
    <row r="13" outlineLevel="1" ht="24" customHeight="1">
      <c r="A13" s="9" t="inlineStr">
        <is>
          <t>2.3</t>
        </is>
      </c>
      <c r="B13" s="9" t="inlineStr">
        <is>
          <t>작업</t>
        </is>
      </c>
      <c r="C13" s="10" t="inlineStr">
        <is>
          <t>기능/비기능 요구 ID 정의</t>
        </is>
      </c>
      <c r="D13" s="9" t="inlineStr">
        <is>
          <t>분석</t>
        </is>
      </c>
      <c r="E13" s="9" t="inlineStr"/>
      <c r="F13" s="11" t="n">
        <v>2.5</v>
      </c>
      <c r="G13" s="9" t="n">
        <v>2</v>
      </c>
      <c r="H13" s="9" t="n">
        <v>3</v>
      </c>
      <c r="I13" s="12">
        <f>표지!$C$15+7*(G13-1)</f>
        <v/>
      </c>
      <c r="J13" s="12">
        <f>표지!$C$15+7*(H13-1)+6</f>
        <v/>
      </c>
      <c r="K13" s="9" t="inlineStr">
        <is>
          <t>공동</t>
        </is>
      </c>
      <c r="L13" s="13" t="inlineStr">
        <is>
          <t>2.1, 2.2</t>
        </is>
      </c>
      <c r="M13" s="13" t="inlineStr">
        <is>
          <t>요구사항정의서.md</t>
        </is>
      </c>
      <c r="N13" s="9" t="inlineStr">
        <is>
          <t>FR/NFR</t>
        </is>
      </c>
      <c r="O13" s="9" t="inlineStr">
        <is>
          <t>완료</t>
        </is>
      </c>
      <c r="P13" s="14" t="n">
        <v>1</v>
      </c>
      <c r="Q13" s="11">
        <f>IF(OR($O13="제외",$O13="보류"),0,$F13*$P13)</f>
        <v/>
      </c>
      <c r="R13" s="13" t="inlineStr"/>
    </row>
    <row r="14" outlineLevel="1" ht="24" customHeight="1">
      <c r="A14" s="9" t="inlineStr">
        <is>
          <t>2.4</t>
        </is>
      </c>
      <c r="B14" s="9" t="inlineStr">
        <is>
          <t>작업</t>
        </is>
      </c>
      <c r="C14" s="10" t="inlineStr">
        <is>
          <t>유스케이스·사용자 스토리</t>
        </is>
      </c>
      <c r="D14" s="9" t="inlineStr">
        <is>
          <t>분석</t>
        </is>
      </c>
      <c r="E14" s="9" t="inlineStr"/>
      <c r="F14" s="11" t="n">
        <v>2</v>
      </c>
      <c r="G14" s="9" t="n">
        <v>2</v>
      </c>
      <c r="H14" s="9" t="n">
        <v>3</v>
      </c>
      <c r="I14" s="12">
        <f>표지!$C$15+7*(G14-1)</f>
        <v/>
      </c>
      <c r="J14" s="12">
        <f>표지!$C$15+7*(H14-1)+6</f>
        <v/>
      </c>
      <c r="K14" s="9" t="inlineStr">
        <is>
          <t>조찬희</t>
        </is>
      </c>
      <c r="L14" s="13" t="inlineStr">
        <is>
          <t>2.3</t>
        </is>
      </c>
      <c r="M14" s="13" t="inlineStr">
        <is>
          <t>유스케이스사용자스토리.md</t>
        </is>
      </c>
      <c r="N14" s="9" t="inlineStr">
        <is>
          <t>UC/US</t>
        </is>
      </c>
      <c r="O14" s="9" t="inlineStr">
        <is>
          <t>완료</t>
        </is>
      </c>
      <c r="P14" s="14" t="n">
        <v>1</v>
      </c>
      <c r="Q14" s="11">
        <f>IF(OR($O14="제외",$O14="보류"),0,$F14*$P14)</f>
        <v/>
      </c>
      <c r="R14" s="13" t="inlineStr">
        <is>
          <t>수용 기준 정본</t>
        </is>
      </c>
    </row>
    <row r="15" outlineLevel="1" ht="24" customHeight="1">
      <c r="A15" s="9" t="inlineStr">
        <is>
          <t>2.5</t>
        </is>
      </c>
      <c r="B15" s="9" t="inlineStr">
        <is>
          <t>작업</t>
        </is>
      </c>
      <c r="C15" s="10" t="inlineStr">
        <is>
          <t>제품 백로그·WBS 수립</t>
        </is>
      </c>
      <c r="D15" s="9" t="inlineStr">
        <is>
          <t>분석</t>
        </is>
      </c>
      <c r="E15" s="9" t="inlineStr"/>
      <c r="F15" s="11" t="n">
        <v>1.5</v>
      </c>
      <c r="G15" s="9" t="n">
        <v>3</v>
      </c>
      <c r="H15" s="9" t="n">
        <v>3</v>
      </c>
      <c r="I15" s="12">
        <f>표지!$C$15+7*(G15-1)</f>
        <v/>
      </c>
      <c r="J15" s="12">
        <f>표지!$C$15+7*(H15-1)+6</f>
        <v/>
      </c>
      <c r="K15" s="9" t="inlineStr">
        <is>
          <t>조찬희</t>
        </is>
      </c>
      <c r="L15" s="13" t="inlineStr">
        <is>
          <t>2.4</t>
        </is>
      </c>
      <c r="M15" s="13" t="inlineStr">
        <is>
          <t>백로그WBS.md</t>
        </is>
      </c>
      <c r="N15" s="9" t="inlineStr"/>
      <c r="O15" s="9" t="inlineStr">
        <is>
          <t>완료</t>
        </is>
      </c>
      <c r="P15" s="14" t="n">
        <v>1</v>
      </c>
      <c r="Q15" s="11">
        <f>IF(OR($O15="제외",$O15="보류"),0,$F15*$P15)</f>
        <v/>
      </c>
      <c r="R15" s="13" t="inlineStr">
        <is>
          <t>본 WBS의 근거</t>
        </is>
      </c>
    </row>
    <row r="16" ht="20" customHeight="1">
      <c r="A16" s="4" t="inlineStr">
        <is>
          <t>3</t>
        </is>
      </c>
      <c r="B16" s="4" t="inlineStr">
        <is>
          <t>단계</t>
        </is>
      </c>
      <c r="C16" s="5" t="inlineStr">
        <is>
          <t>설계</t>
        </is>
      </c>
      <c r="D16" s="4" t="inlineStr">
        <is>
          <t>설계</t>
        </is>
      </c>
      <c r="E16" s="4" t="inlineStr"/>
      <c r="F16" s="6">
        <f>SUMIFS($F$5:$F$90,$B$5:$B$90,"작업",$D$5:$D$90,$D16,$O$5:$O$90,"&lt;&gt;제외",$O$5:$O$90,"&lt;&gt;보류")</f>
        <v/>
      </c>
      <c r="G16" s="4">
        <f>MIN(G17:G24)</f>
        <v/>
      </c>
      <c r="H16" s="4">
        <f>MAX(H17:H24)</f>
        <v/>
      </c>
      <c r="I16" s="7">
        <f>표지!$C$15+7*(G16-1)</f>
        <v/>
      </c>
      <c r="J16" s="7">
        <f>표지!$C$15+7*(H16-1)+6</f>
        <v/>
      </c>
      <c r="K16" s="4" t="inlineStr">
        <is>
          <t>공동</t>
        </is>
      </c>
      <c r="L16" s="5" t="n"/>
      <c r="M16" s="5" t="n"/>
      <c r="N16" s="4" t="n"/>
      <c r="O16" s="4">
        <f>IF($F16=0,"-",IF($Q16&gt;=$F16,"완료",IF($Q16&gt;0,"진행중","대기")))</f>
        <v/>
      </c>
      <c r="P16" s="8">
        <f>IF($F16=0,0,$Q16/$F16)</f>
        <v/>
      </c>
      <c r="Q16" s="6">
        <f>SUMIFS($Q$5:$Q$90,$B$5:$B$90,"작업",$D$5:$D$90,$D16,$O$5:$O$90,"&lt;&gt;제외",$O$5:$O$90,"&lt;&gt;보류")</f>
        <v/>
      </c>
      <c r="R16" s="5">
        <f>TEXT(COUNTIFS($B$5:$B$90,"작업",$D$5:$D$90,$D16),"0")&amp;"개 작업패키지 합계"</f>
        <v/>
      </c>
    </row>
    <row r="17" outlineLevel="1" ht="24" customHeight="1">
      <c r="A17" s="9" t="inlineStr">
        <is>
          <t>3.1</t>
        </is>
      </c>
      <c r="B17" s="9" t="inlineStr">
        <is>
          <t>작업</t>
        </is>
      </c>
      <c r="C17" s="10" t="inlineStr">
        <is>
          <t>스택 확정, 논리 구성도</t>
        </is>
      </c>
      <c r="D17" s="9" t="inlineStr">
        <is>
          <t>설계</t>
        </is>
      </c>
      <c r="E17" s="9" t="inlineStr"/>
      <c r="F17" s="11" t="n">
        <v>1</v>
      </c>
      <c r="G17" s="9" t="n">
        <v>4</v>
      </c>
      <c r="H17" s="9" t="n">
        <v>4</v>
      </c>
      <c r="I17" s="12">
        <f>표지!$C$15+7*(G17-1)</f>
        <v/>
      </c>
      <c r="J17" s="12">
        <f>표지!$C$15+7*(H17-1)+6</f>
        <v/>
      </c>
      <c r="K17" s="9" t="inlineStr">
        <is>
          <t>공동</t>
        </is>
      </c>
      <c r="L17" s="13" t="inlineStr">
        <is>
          <t>2.5</t>
        </is>
      </c>
      <c r="M17" s="13" t="inlineStr">
        <is>
          <t>아키텍처 1장</t>
        </is>
      </c>
      <c r="N17" s="9" t="inlineStr">
        <is>
          <t>SFR-001</t>
        </is>
      </c>
      <c r="O17" s="9" t="inlineStr">
        <is>
          <t>대기</t>
        </is>
      </c>
      <c r="P17" s="14" t="n">
        <v>0</v>
      </c>
      <c r="Q17" s="11">
        <f>IF(OR($O17="제외",$O17="보류"),0,$F17*$P17)</f>
        <v/>
      </c>
      <c r="R17" s="13" t="inlineStr">
        <is>
          <t>미결 1</t>
        </is>
      </c>
    </row>
    <row r="18" outlineLevel="1" ht="24" customHeight="1">
      <c r="A18" s="9" t="inlineStr">
        <is>
          <t>3.2</t>
        </is>
      </c>
      <c r="B18" s="9" t="inlineStr">
        <is>
          <t>작업</t>
        </is>
      </c>
      <c r="C18" s="10" t="inlineStr">
        <is>
          <t>용량 산정(표본×주기×보관)</t>
        </is>
      </c>
      <c r="D18" s="9" t="inlineStr">
        <is>
          <t>설계</t>
        </is>
      </c>
      <c r="E18" s="9" t="inlineStr"/>
      <c r="F18" s="11" t="n">
        <v>0.5</v>
      </c>
      <c r="G18" s="9" t="n">
        <v>4</v>
      </c>
      <c r="H18" s="9" t="n">
        <v>4</v>
      </c>
      <c r="I18" s="12">
        <f>표지!$C$15+7*(G18-1)</f>
        <v/>
      </c>
      <c r="J18" s="12">
        <f>표지!$C$15+7*(H18-1)+6</f>
        <v/>
      </c>
      <c r="K18" s="9" t="inlineStr">
        <is>
          <t>기경현</t>
        </is>
      </c>
      <c r="L18" s="13" t="inlineStr">
        <is>
          <t>3.1</t>
        </is>
      </c>
      <c r="M18" s="13" t="inlineStr">
        <is>
          <t>구성도 부록</t>
        </is>
      </c>
      <c r="N18" s="9" t="inlineStr">
        <is>
          <t>FR-SYS-002</t>
        </is>
      </c>
      <c r="O18" s="9" t="inlineStr">
        <is>
          <t>대기</t>
        </is>
      </c>
      <c r="P18" s="14" t="n">
        <v>0</v>
      </c>
      <c r="Q18" s="11">
        <f>IF(OR($O18="제외",$O18="보류"),0,$F18*$P18)</f>
        <v/>
      </c>
      <c r="R18" s="13" t="inlineStr">
        <is>
          <t>NFR-PER-003</t>
        </is>
      </c>
    </row>
    <row r="19" outlineLevel="1" ht="24" customHeight="1">
      <c r="A19" s="9" t="inlineStr">
        <is>
          <t>3.3</t>
        </is>
      </c>
      <c r="B19" s="9" t="inlineStr">
        <is>
          <t>작업</t>
        </is>
      </c>
      <c r="C19" s="10" t="inlineStr">
        <is>
          <t>화면 IA·와이어(필수 6화면)</t>
        </is>
      </c>
      <c r="D19" s="9" t="inlineStr">
        <is>
          <t>설계</t>
        </is>
      </c>
      <c r="E19" s="9" t="inlineStr"/>
      <c r="F19" s="11" t="n">
        <v>1</v>
      </c>
      <c r="G19" s="9" t="n">
        <v>4</v>
      </c>
      <c r="H19" s="9" t="n">
        <v>5</v>
      </c>
      <c r="I19" s="12">
        <f>표지!$C$15+7*(G19-1)</f>
        <v/>
      </c>
      <c r="J19" s="12">
        <f>표지!$C$15+7*(H19-1)+6</f>
        <v/>
      </c>
      <c r="K19" s="9" t="inlineStr">
        <is>
          <t>조찬희</t>
        </is>
      </c>
      <c r="L19" s="13" t="inlineStr">
        <is>
          <t>2.4</t>
        </is>
      </c>
      <c r="M19" s="13" t="inlineStr">
        <is>
          <t>화면설계</t>
        </is>
      </c>
      <c r="N19" s="9" t="inlineStr">
        <is>
          <t>FR-MON</t>
        </is>
      </c>
      <c r="O19" s="9" t="inlineStr">
        <is>
          <t>대기</t>
        </is>
      </c>
      <c r="P19" s="14" t="n">
        <v>0</v>
      </c>
      <c r="Q19" s="11">
        <f>IF(OR($O19="제외",$O19="보류"),0,$F19*$P19)</f>
        <v/>
      </c>
      <c r="R19" s="13" t="inlineStr">
        <is>
          <t>재추정 2.0→1.0, 2주 분산</t>
        </is>
      </c>
    </row>
    <row r="20" outlineLevel="1" ht="24" customHeight="1">
      <c r="A20" s="9" t="inlineStr">
        <is>
          <t>3.4</t>
        </is>
      </c>
      <c r="B20" s="9" t="inlineStr">
        <is>
          <t>작업</t>
        </is>
      </c>
      <c r="C20" s="10" t="inlineStr">
        <is>
          <t>개념·논리 ERD, 원본/제공 분리</t>
        </is>
      </c>
      <c r="D20" s="9" t="inlineStr">
        <is>
          <t>설계</t>
        </is>
      </c>
      <c r="E20" s="9" t="inlineStr"/>
      <c r="F20" s="11" t="n">
        <v>1.5</v>
      </c>
      <c r="G20" s="9" t="n">
        <v>4</v>
      </c>
      <c r="H20" s="9" t="n">
        <v>5</v>
      </c>
      <c r="I20" s="12">
        <f>표지!$C$15+7*(G20-1)</f>
        <v/>
      </c>
      <c r="J20" s="12">
        <f>표지!$C$15+7*(H20-1)+6</f>
        <v/>
      </c>
      <c r="K20" s="9" t="inlineStr">
        <is>
          <t>기경현</t>
        </is>
      </c>
      <c r="L20" s="13" t="inlineStr">
        <is>
          <t>3.1</t>
        </is>
      </c>
      <c r="M20" s="13" t="inlineStr">
        <is>
          <t>ERD</t>
        </is>
      </c>
      <c r="N20" s="9" t="inlineStr">
        <is>
          <t>FR-STO-001</t>
        </is>
      </c>
      <c r="O20" s="9" t="inlineStr">
        <is>
          <t>대기</t>
        </is>
      </c>
      <c r="P20" s="14" t="n">
        <v>0</v>
      </c>
      <c r="Q20" s="11">
        <f>IF(OR($O20="제외",$O20="보류"),0,$F20*$P20)</f>
        <v/>
      </c>
      <c r="R20" s="13" t="inlineStr">
        <is>
          <t>재추정 2.0→1.5, 2주 분산</t>
        </is>
      </c>
    </row>
    <row r="21" outlineLevel="1" ht="24" customHeight="1">
      <c r="A21" s="9" t="inlineStr">
        <is>
          <t>3.5</t>
        </is>
      </c>
      <c r="B21" s="9" t="inlineStr">
        <is>
          <t>작업</t>
        </is>
      </c>
      <c r="C21" s="10" t="inlineStr">
        <is>
          <t>REST API 명세서(권한 포함)</t>
        </is>
      </c>
      <c r="D21" s="9" t="inlineStr">
        <is>
          <t>설계</t>
        </is>
      </c>
      <c r="E21" s="9" t="inlineStr"/>
      <c r="F21" s="11" t="n">
        <v>1</v>
      </c>
      <c r="G21" s="9" t="n">
        <v>4</v>
      </c>
      <c r="H21" s="9" t="n">
        <v>5</v>
      </c>
      <c r="I21" s="12">
        <f>표지!$C$15+7*(G21-1)</f>
        <v/>
      </c>
      <c r="J21" s="12">
        <f>표지!$C$15+7*(H21-1)+6</f>
        <v/>
      </c>
      <c r="K21" s="9" t="inlineStr">
        <is>
          <t>기경현</t>
        </is>
      </c>
      <c r="L21" s="13" t="inlineStr">
        <is>
          <t>3.4</t>
        </is>
      </c>
      <c r="M21" s="13" t="inlineStr">
        <is>
          <t>API 명세</t>
        </is>
      </c>
      <c r="N21" s="9" t="inlineStr">
        <is>
          <t>IF-INT-001</t>
        </is>
      </c>
      <c r="O21" s="9" t="inlineStr">
        <is>
          <t>대기</t>
        </is>
      </c>
      <c r="P21" s="14" t="n">
        <v>0</v>
      </c>
      <c r="Q21" s="11">
        <f>IF(OR($O21="제외",$O21="보류"),0,$F21*$P21)</f>
        <v/>
      </c>
      <c r="R21" s="13" t="inlineStr">
        <is>
          <t>재추정 1.5→1.0, 2주 분산</t>
        </is>
      </c>
    </row>
    <row r="22" outlineLevel="1" ht="24" customHeight="1">
      <c r="A22" s="9" t="inlineStr">
        <is>
          <t>3.6</t>
        </is>
      </c>
      <c r="B22" s="9" t="inlineStr">
        <is>
          <t>작업</t>
        </is>
      </c>
      <c r="C22" s="10" t="inlineStr">
        <is>
          <t>검증 규칙 임계 기본값 표(R01–R12)</t>
        </is>
      </c>
      <c r="D22" s="9" t="inlineStr">
        <is>
          <t>설계</t>
        </is>
      </c>
      <c r="E22" s="9" t="inlineStr"/>
      <c r="F22" s="11" t="n">
        <v>0.5</v>
      </c>
      <c r="G22" s="9" t="n">
        <v>5</v>
      </c>
      <c r="H22" s="9" t="n">
        <v>5</v>
      </c>
      <c r="I22" s="12">
        <f>표지!$C$15+7*(G22-1)</f>
        <v/>
      </c>
      <c r="J22" s="12">
        <f>표지!$C$15+7*(H22-1)+6</f>
        <v/>
      </c>
      <c r="K22" s="9" t="inlineStr">
        <is>
          <t>기경현</t>
        </is>
      </c>
      <c r="L22" s="13" t="inlineStr">
        <is>
          <t>2.3</t>
        </is>
      </c>
      <c r="M22" s="13" t="inlineStr">
        <is>
          <t>규칙 명세</t>
        </is>
      </c>
      <c r="N22" s="9" t="inlineStr">
        <is>
          <t>FR-VAL</t>
        </is>
      </c>
      <c r="O22" s="9" t="inlineStr">
        <is>
          <t>대기</t>
        </is>
      </c>
      <c r="P22" s="14" t="n">
        <v>0</v>
      </c>
      <c r="Q22" s="11">
        <f>IF(OR($O22="제외",$O22="보류"),0,$F22*$P22)</f>
        <v/>
      </c>
      <c r="R22" s="13" t="inlineStr">
        <is>
          <t>재추정 1.5→0.5. 판정 로직은 4.4.1</t>
        </is>
      </c>
    </row>
    <row r="23" outlineLevel="1" ht="24" customHeight="1">
      <c r="A23" s="9" t="inlineStr">
        <is>
          <t>3.7</t>
        </is>
      </c>
      <c r="B23" s="9" t="inlineStr">
        <is>
          <t>작업</t>
        </is>
      </c>
      <c r="C23" s="10" t="inlineStr">
        <is>
          <t>정적 와이어(핵심 3화면)</t>
        </is>
      </c>
      <c r="D23" s="9" t="inlineStr">
        <is>
          <t>설계</t>
        </is>
      </c>
      <c r="E23" s="9" t="inlineStr"/>
      <c r="F23" s="11" t="n">
        <v>0.5</v>
      </c>
      <c r="G23" s="9" t="n">
        <v>5</v>
      </c>
      <c r="H23" s="9" t="n">
        <v>5</v>
      </c>
      <c r="I23" s="12">
        <f>표지!$C$15+7*(G23-1)</f>
        <v/>
      </c>
      <c r="J23" s="12">
        <f>표지!$C$15+7*(H23-1)+6</f>
        <v/>
      </c>
      <c r="K23" s="9" t="inlineStr">
        <is>
          <t>조찬희</t>
        </is>
      </c>
      <c r="L23" s="13" t="inlineStr">
        <is>
          <t>3.3</t>
        </is>
      </c>
      <c r="M23" s="13" t="inlineStr">
        <is>
          <t>와이어</t>
        </is>
      </c>
      <c r="N23" s="9" t="inlineStr">
        <is>
          <t>UC06, UC07</t>
        </is>
      </c>
      <c r="O23" s="9" t="inlineStr">
        <is>
          <t>대기</t>
        </is>
      </c>
      <c r="P23" s="14" t="n">
        <v>0</v>
      </c>
      <c r="Q23" s="11">
        <f>IF(OR($O23="제외",$O23="보류"),0,$F23*$P23)</f>
        <v/>
      </c>
      <c r="R23" s="13" t="inlineStr">
        <is>
          <t>재추정 1.5→0.5. 클릭 프로토타입 축소</t>
        </is>
      </c>
    </row>
    <row r="24" outlineLevel="1" ht="24" customHeight="1">
      <c r="A24" s="9" t="inlineStr">
        <is>
          <t>3.8</t>
        </is>
      </c>
      <c r="B24" s="9" t="inlineStr">
        <is>
          <t>작업</t>
        </is>
      </c>
      <c r="C24" s="10" t="inlineStr">
        <is>
          <t>설계 리뷰·미결 1~7 확정</t>
        </is>
      </c>
      <c r="D24" s="9" t="inlineStr">
        <is>
          <t>설계</t>
        </is>
      </c>
      <c r="E24" s="9" t="inlineStr"/>
      <c r="F24" s="11" t="n">
        <v>0.5</v>
      </c>
      <c r="G24" s="9" t="n">
        <v>5</v>
      </c>
      <c r="H24" s="9" t="n">
        <v>5</v>
      </c>
      <c r="I24" s="12">
        <f>표지!$C$15+7*(G24-1)</f>
        <v/>
      </c>
      <c r="J24" s="12">
        <f>표지!$C$15+7*(H24-1)+6</f>
        <v/>
      </c>
      <c r="K24" s="9" t="inlineStr">
        <is>
          <t>공동</t>
        </is>
      </c>
      <c r="L24" s="13" t="inlineStr">
        <is>
          <t>3.1, 3.5, 3.6, 3.7</t>
        </is>
      </c>
      <c r="M24" s="13" t="inlineStr">
        <is>
          <t>리뷰 기록</t>
        </is>
      </c>
      <c r="N24" s="9" t="inlineStr"/>
      <c r="O24" s="9" t="inlineStr">
        <is>
          <t>대기</t>
        </is>
      </c>
      <c r="P24" s="14" t="n">
        <v>0</v>
      </c>
      <c r="Q24" s="11">
        <f>IF(OR($O24="제외",$O24="보류"),0,$F24*$P24)</f>
        <v/>
      </c>
      <c r="R24" s="13" t="inlineStr">
        <is>
          <t>재추정 1.0→0.5. M2 게이트</t>
        </is>
      </c>
    </row>
    <row r="25" ht="20" customHeight="1">
      <c r="A25" s="4" t="inlineStr">
        <is>
          <t>4</t>
        </is>
      </c>
      <c r="B25" s="4" t="inlineStr">
        <is>
          <t>단계</t>
        </is>
      </c>
      <c r="C25" s="5" t="inlineStr">
        <is>
          <t>구현</t>
        </is>
      </c>
      <c r="D25" s="4" t="inlineStr">
        <is>
          <t>구현</t>
        </is>
      </c>
      <c r="E25" s="4" t="inlineStr"/>
      <c r="F25" s="6">
        <f>SUMIFS($F$5:$F$90,$B$5:$B$90,"작업",$D$5:$D$90,$D25,$O$5:$O$90,"&lt;&gt;제외",$O$5:$O$90,"&lt;&gt;보류")</f>
        <v/>
      </c>
      <c r="G25" s="4">
        <f>MIN(G26:G75)</f>
        <v/>
      </c>
      <c r="H25" s="4">
        <f>MAX(H26:H75)</f>
        <v/>
      </c>
      <c r="I25" s="7">
        <f>표지!$C$15+7*(G25-1)</f>
        <v/>
      </c>
      <c r="J25" s="7">
        <f>표지!$C$15+7*(H25-1)+6</f>
        <v/>
      </c>
      <c r="K25" s="4" t="inlineStr">
        <is>
          <t>공동</t>
        </is>
      </c>
      <c r="L25" s="5" t="n"/>
      <c r="M25" s="5" t="n"/>
      <c r="N25" s="4" t="n"/>
      <c r="O25" s="4">
        <f>IF($F25=0,"-",IF($Q25&gt;=$F25,"완료",IF($Q25&gt;0,"진행중","대기")))</f>
        <v/>
      </c>
      <c r="P25" s="8">
        <f>IF($F25=0,0,$Q25/$F25)</f>
        <v/>
      </c>
      <c r="Q25" s="6">
        <f>SUMIFS($Q$5:$Q$90,$B$5:$B$90,"작업",$D$5:$D$90,$D25,$O$5:$O$90,"&lt;&gt;제외",$O$5:$O$90,"&lt;&gt;보류")</f>
        <v/>
      </c>
      <c r="R25" s="5">
        <f>TEXT(COUNTIFS($B$5:$B$90,"작업",$D$5:$D$90,$D25),"0")&amp;"개 작업패키지 합계"</f>
        <v/>
      </c>
    </row>
    <row r="26" outlineLevel="1" ht="20" customHeight="1">
      <c r="A26" s="15" t="inlineStr">
        <is>
          <t>4.1</t>
        </is>
      </c>
      <c r="B26" s="15" t="inlineStr">
        <is>
          <t>활동</t>
        </is>
      </c>
      <c r="C26" s="16" t="inlineStr">
        <is>
          <t>기반 환경 (S1–S2)</t>
        </is>
      </c>
      <c r="D26" s="15" t="inlineStr">
        <is>
          <t>구현</t>
        </is>
      </c>
      <c r="E26" s="15" t="inlineStr">
        <is>
          <t>기반 환경 (S1–S2)</t>
        </is>
      </c>
      <c r="F26" s="17">
        <f>SUMIFS($F$5:$F$90,$B$5:$B$90,"작업",$E$5:$E$90,$E26,$O$5:$O$90,"&lt;&gt;제외",$O$5:$O$90,"&lt;&gt;보류")</f>
        <v/>
      </c>
      <c r="G26" s="15">
        <f>MIN(G27:G32)</f>
        <v/>
      </c>
      <c r="H26" s="15">
        <f>MAX(H27:H32)</f>
        <v/>
      </c>
      <c r="I26" s="18">
        <f>표지!$C$15+7*(G26-1)</f>
        <v/>
      </c>
      <c r="J26" s="18">
        <f>표지!$C$15+7*(H26-1)+6</f>
        <v/>
      </c>
      <c r="K26" s="15" t="inlineStr"/>
      <c r="L26" s="19" t="n"/>
      <c r="M26" s="19" t="n"/>
      <c r="N26" s="15" t="n"/>
      <c r="O26" s="15">
        <f>IF($F26=0,"-",IF($Q26&gt;=$F26,"완료",IF($Q26&gt;0,"진행중","대기")))</f>
        <v/>
      </c>
      <c r="P26" s="20">
        <f>IF($F26=0,0,$Q26/$F26)</f>
        <v/>
      </c>
      <c r="Q26" s="17">
        <f>SUMIFS($Q$5:$Q$90,$B$5:$B$90,"작업",$E$5:$E$90,$E26,$O$5:$O$90,"&lt;&gt;제외",$O$5:$O$90,"&lt;&gt;보류")</f>
        <v/>
      </c>
      <c r="R26" s="19">
        <f>TEXT(COUNTIFS($B$5:$B$90,"작업",$E$5:$E$90,$E26),"0")&amp;"개 작업패키지 합계"</f>
        <v/>
      </c>
    </row>
    <row r="27" outlineLevel="2" ht="24" customHeight="1">
      <c r="A27" s="9" t="inlineStr">
        <is>
          <t>4.1.1</t>
        </is>
      </c>
      <c r="B27" s="9" t="inlineStr">
        <is>
          <t>작업</t>
        </is>
      </c>
      <c r="C27" s="21" t="inlineStr">
        <is>
          <t>저장소·실행 환경(로컬/Docker)</t>
        </is>
      </c>
      <c r="D27" s="9" t="inlineStr">
        <is>
          <t>구현</t>
        </is>
      </c>
      <c r="E27" s="9" t="inlineStr">
        <is>
          <t>기반 환경 (S1–S2)</t>
        </is>
      </c>
      <c r="F27" s="11" t="n">
        <v>0.5</v>
      </c>
      <c r="G27" s="9" t="n">
        <v>6</v>
      </c>
      <c r="H27" s="9" t="n">
        <v>6</v>
      </c>
      <c r="I27" s="12">
        <f>표지!$C$15+7*(G27-1)</f>
        <v/>
      </c>
      <c r="J27" s="12">
        <f>표지!$C$15+7*(H27-1)+6</f>
        <v/>
      </c>
      <c r="K27" s="9" t="inlineStr">
        <is>
          <t>기경현</t>
        </is>
      </c>
      <c r="L27" s="13" t="inlineStr">
        <is>
          <t>3.1</t>
        </is>
      </c>
      <c r="M27" s="13" t="inlineStr">
        <is>
          <t>README 기동 절차</t>
        </is>
      </c>
      <c r="N27" s="9" t="inlineStr">
        <is>
          <t>EN-ENV-01</t>
        </is>
      </c>
      <c r="O27" s="9" t="inlineStr">
        <is>
          <t>대기</t>
        </is>
      </c>
      <c r="P27" s="14" t="n">
        <v>0</v>
      </c>
      <c r="Q27" s="11">
        <f>IF(OR($O27="제외",$O27="보류"),0,$F27*$P27)</f>
        <v/>
      </c>
      <c r="R27" s="13" t="inlineStr">
        <is>
          <t>재추정 1.0→0.5</t>
        </is>
      </c>
    </row>
    <row r="28" outlineLevel="2" ht="24" customHeight="1">
      <c r="A28" s="9" t="inlineStr">
        <is>
          <t>4.1.2</t>
        </is>
      </c>
      <c r="B28" s="9" t="inlineStr">
        <is>
          <t>작업</t>
        </is>
      </c>
      <c r="C28" s="21" t="inlineStr">
        <is>
          <t>스키마·마이그레이션</t>
        </is>
      </c>
      <c r="D28" s="9" t="inlineStr">
        <is>
          <t>구현</t>
        </is>
      </c>
      <c r="E28" s="9" t="inlineStr">
        <is>
          <t>기반 환경 (S1–S2)</t>
        </is>
      </c>
      <c r="F28" s="11" t="n">
        <v>1.5</v>
      </c>
      <c r="G28" s="9" t="n">
        <v>6</v>
      </c>
      <c r="H28" s="9" t="n">
        <v>6</v>
      </c>
      <c r="I28" s="12">
        <f>표지!$C$15+7*(G28-1)</f>
        <v/>
      </c>
      <c r="J28" s="12">
        <f>표지!$C$15+7*(H28-1)+6</f>
        <v/>
      </c>
      <c r="K28" s="9" t="inlineStr">
        <is>
          <t>기경현</t>
        </is>
      </c>
      <c r="L28" s="13" t="inlineStr">
        <is>
          <t>3.4</t>
        </is>
      </c>
      <c r="M28" s="13" t="inlineStr">
        <is>
          <t>원본/제공/계획/이슈 테이블</t>
        </is>
      </c>
      <c r="N28" s="9" t="inlineStr">
        <is>
          <t>EN-DB-01</t>
        </is>
      </c>
      <c r="O28" s="9" t="inlineStr">
        <is>
          <t>대기</t>
        </is>
      </c>
      <c r="P28" s="14" t="n">
        <v>0</v>
      </c>
      <c r="Q28" s="11">
        <f>IF(OR($O28="제외",$O28="보류"),0,$F28*$P28)</f>
        <v/>
      </c>
      <c r="R28" s="13" t="inlineStr">
        <is>
          <t>재추정 2.0→1.5</t>
        </is>
      </c>
    </row>
    <row r="29" outlineLevel="2" ht="24" customHeight="1">
      <c r="A29" s="9" t="inlineStr">
        <is>
          <t>4.1.3</t>
        </is>
      </c>
      <c r="B29" s="9" t="inlineStr">
        <is>
          <t>작업</t>
        </is>
      </c>
      <c r="C29" s="21" t="inlineStr">
        <is>
          <t>API 골격·인증 미들웨어</t>
        </is>
      </c>
      <c r="D29" s="9" t="inlineStr">
        <is>
          <t>구현</t>
        </is>
      </c>
      <c r="E29" s="9" t="inlineStr">
        <is>
          <t>기반 환경 (S1–S2)</t>
        </is>
      </c>
      <c r="F29" s="11" t="n">
        <v>1</v>
      </c>
      <c r="G29" s="9" t="n">
        <v>6</v>
      </c>
      <c r="H29" s="9" t="n">
        <v>6</v>
      </c>
      <c r="I29" s="12">
        <f>표지!$C$15+7*(G29-1)</f>
        <v/>
      </c>
      <c r="J29" s="12">
        <f>표지!$C$15+7*(H29-1)+6</f>
        <v/>
      </c>
      <c r="K29" s="9" t="inlineStr">
        <is>
          <t>기경현</t>
        </is>
      </c>
      <c r="L29" s="13" t="inlineStr">
        <is>
          <t>4.1.1, 3.5</t>
        </is>
      </c>
      <c r="M29" s="13" t="inlineStr">
        <is>
          <t>헬스체크, 401/403</t>
        </is>
      </c>
      <c r="N29" s="9" t="inlineStr">
        <is>
          <t>EN-API-01</t>
        </is>
      </c>
      <c r="O29" s="9" t="inlineStr">
        <is>
          <t>대기</t>
        </is>
      </c>
      <c r="P29" s="14" t="n">
        <v>0</v>
      </c>
      <c r="Q29" s="11">
        <f>IF(OR($O29="제외",$O29="보류"),0,$F29*$P29)</f>
        <v/>
      </c>
      <c r="R29" s="13" t="inlineStr"/>
    </row>
    <row r="30" outlineLevel="2" ht="24" customHeight="1">
      <c r="A30" s="9" t="inlineStr">
        <is>
          <t>4.1.4</t>
        </is>
      </c>
      <c r="B30" s="9" t="inlineStr">
        <is>
          <t>작업</t>
        </is>
      </c>
      <c r="C30" s="21" t="inlineStr">
        <is>
          <t>시드(계정·교차로·계획)</t>
        </is>
      </c>
      <c r="D30" s="9" t="inlineStr">
        <is>
          <t>구현</t>
        </is>
      </c>
      <c r="E30" s="9" t="inlineStr">
        <is>
          <t>기반 환경 (S1–S2)</t>
        </is>
      </c>
      <c r="F30" s="11" t="n">
        <v>0.5</v>
      </c>
      <c r="G30" s="9" t="n">
        <v>6</v>
      </c>
      <c r="H30" s="9" t="n">
        <v>7</v>
      </c>
      <c r="I30" s="12">
        <f>표지!$C$15+7*(G30-1)</f>
        <v/>
      </c>
      <c r="J30" s="12">
        <f>표지!$C$15+7*(H30-1)+6</f>
        <v/>
      </c>
      <c r="K30" s="9" t="inlineStr">
        <is>
          <t>기경현</t>
        </is>
      </c>
      <c r="L30" s="13" t="inlineStr">
        <is>
          <t>4.1.2</t>
        </is>
      </c>
      <c r="M30" s="13" t="inlineStr">
        <is>
          <t>시연용 데이터</t>
        </is>
      </c>
      <c r="N30" s="9" t="inlineStr">
        <is>
          <t>EN-SEED-01</t>
        </is>
      </c>
      <c r="O30" s="9" t="inlineStr">
        <is>
          <t>대기</t>
        </is>
      </c>
      <c r="P30" s="14" t="n">
        <v>0</v>
      </c>
      <c r="Q30" s="11">
        <f>IF(OR($O30="제외",$O30="보류"),0,$F30*$P30)</f>
        <v/>
      </c>
      <c r="R30" s="13" t="inlineStr">
        <is>
          <t>재추정 1.0→0.5, 2주 분산</t>
        </is>
      </c>
    </row>
    <row r="31" outlineLevel="2" ht="24" customHeight="1">
      <c r="A31" s="9" t="inlineStr">
        <is>
          <t>4.1.5</t>
        </is>
      </c>
      <c r="B31" s="9" t="inlineStr">
        <is>
          <t>작업</t>
        </is>
      </c>
      <c r="C31" s="21" t="inlineStr">
        <is>
          <t>프론트 셸·라우팅·역할별 메뉴</t>
        </is>
      </c>
      <c r="D31" s="9" t="inlineStr">
        <is>
          <t>구현</t>
        </is>
      </c>
      <c r="E31" s="9" t="inlineStr">
        <is>
          <t>기반 환경 (S1–S2)</t>
        </is>
      </c>
      <c r="F31" s="11" t="n">
        <v>1.5</v>
      </c>
      <c r="G31" s="9" t="n">
        <v>6</v>
      </c>
      <c r="H31" s="9" t="n">
        <v>6</v>
      </c>
      <c r="I31" s="12">
        <f>표지!$C$15+7*(G31-1)</f>
        <v/>
      </c>
      <c r="J31" s="12">
        <f>표지!$C$15+7*(H31-1)+6</f>
        <v/>
      </c>
      <c r="K31" s="9" t="inlineStr">
        <is>
          <t>조찬희</t>
        </is>
      </c>
      <c r="L31" s="13" t="inlineStr">
        <is>
          <t>4.1.3, 3.3</t>
        </is>
      </c>
      <c r="M31" s="13" t="inlineStr">
        <is>
          <t>빈 대시보드 골격</t>
        </is>
      </c>
      <c r="N31" s="9" t="inlineStr">
        <is>
          <t>EN-FE-01</t>
        </is>
      </c>
      <c r="O31" s="9" t="inlineStr">
        <is>
          <t>대기</t>
        </is>
      </c>
      <c r="P31" s="14" t="n">
        <v>0</v>
      </c>
      <c r="Q31" s="11">
        <f>IF(OR($O31="제외",$O31="보류"),0,$F31*$P31)</f>
        <v/>
      </c>
      <c r="R31" s="13" t="inlineStr"/>
    </row>
    <row r="32" outlineLevel="2" ht="24" customHeight="1">
      <c r="A32" s="9" t="inlineStr">
        <is>
          <t>4.1.6</t>
        </is>
      </c>
      <c r="B32" s="9" t="inlineStr">
        <is>
          <t>작업</t>
        </is>
      </c>
      <c r="C32" s="21" t="inlineStr">
        <is>
          <t>로그인·RBAC 연동</t>
        </is>
      </c>
      <c r="D32" s="9" t="inlineStr">
        <is>
          <t>구현</t>
        </is>
      </c>
      <c r="E32" s="9" t="inlineStr">
        <is>
          <t>기반 환경 (S1–S2)</t>
        </is>
      </c>
      <c r="F32" s="11" t="n">
        <v>1</v>
      </c>
      <c r="G32" s="9" t="n">
        <v>6</v>
      </c>
      <c r="H32" s="9" t="n">
        <v>7</v>
      </c>
      <c r="I32" s="12">
        <f>표지!$C$15+7*(G32-1)</f>
        <v/>
      </c>
      <c r="J32" s="12">
        <f>표지!$C$15+7*(H32-1)+6</f>
        <v/>
      </c>
      <c r="K32" s="9" t="inlineStr">
        <is>
          <t>공동</t>
        </is>
      </c>
      <c r="L32" s="13" t="inlineStr">
        <is>
          <t>4.1.3, 4.1.5</t>
        </is>
      </c>
      <c r="M32" s="13" t="inlineStr">
        <is>
          <t>역할별 접근 제어</t>
        </is>
      </c>
      <c r="N32" s="9" t="inlineStr">
        <is>
          <t>US-ADM-01</t>
        </is>
      </c>
      <c r="O32" s="9" t="inlineStr">
        <is>
          <t>대기</t>
        </is>
      </c>
      <c r="P32" s="14" t="n">
        <v>0</v>
      </c>
      <c r="Q32" s="11">
        <f>IF(OR($O32="제외",$O32="보류"),0,$F32*$P32)</f>
        <v/>
      </c>
      <c r="R32" s="13" t="inlineStr">
        <is>
          <t>재추정 1.5→1.0, S1–S2 분산</t>
        </is>
      </c>
    </row>
    <row r="33" outlineLevel="1" ht="20" customHeight="1">
      <c r="A33" s="15" t="inlineStr">
        <is>
          <t>4.2</t>
        </is>
      </c>
      <c r="B33" s="15" t="inlineStr">
        <is>
          <t>활동</t>
        </is>
      </c>
      <c r="C33" s="16" t="inlineStr">
        <is>
          <t>수집 (S2–S3)</t>
        </is>
      </c>
      <c r="D33" s="15" t="inlineStr">
        <is>
          <t>구현</t>
        </is>
      </c>
      <c r="E33" s="15" t="inlineStr">
        <is>
          <t>수집 (S2–S3)</t>
        </is>
      </c>
      <c r="F33" s="17">
        <f>SUMIFS($F$5:$F$90,$B$5:$B$90,"작업",$E$5:$E$90,$E33,$O$5:$O$90,"&lt;&gt;제외",$O$5:$O$90,"&lt;&gt;보류")</f>
        <v/>
      </c>
      <c r="G33" s="15">
        <f>MIN(G34:G39)</f>
        <v/>
      </c>
      <c r="H33" s="15">
        <f>MAX(H34:H39)</f>
        <v/>
      </c>
      <c r="I33" s="18">
        <f>표지!$C$15+7*(G33-1)</f>
        <v/>
      </c>
      <c r="J33" s="18">
        <f>표지!$C$15+7*(H33-1)+6</f>
        <v/>
      </c>
      <c r="K33" s="15" t="inlineStr"/>
      <c r="L33" s="19" t="n"/>
      <c r="M33" s="19" t="n"/>
      <c r="N33" s="15" t="n"/>
      <c r="O33" s="15">
        <f>IF($F33=0,"-",IF($Q33&gt;=$F33,"완료",IF($Q33&gt;0,"진행중","대기")))</f>
        <v/>
      </c>
      <c r="P33" s="20">
        <f>IF($F33=0,0,$Q33/$F33)</f>
        <v/>
      </c>
      <c r="Q33" s="17">
        <f>SUMIFS($Q$5:$Q$90,$B$5:$B$90,"작업",$E$5:$E$90,$E33,$O$5:$O$90,"&lt;&gt;제외",$O$5:$O$90,"&lt;&gt;보류")</f>
        <v/>
      </c>
      <c r="R33" s="19">
        <f>TEXT(COUNTIFS($B$5:$B$90,"작업",$E$5:$E$90,$E33),"0")&amp;"개 작업패키지 합계"</f>
        <v/>
      </c>
    </row>
    <row r="34" outlineLevel="2" ht="24" customHeight="1">
      <c r="A34" s="9" t="inlineStr">
        <is>
          <t>4.2.1</t>
        </is>
      </c>
      <c r="B34" s="9" t="inlineStr">
        <is>
          <t>작업</t>
        </is>
      </c>
      <c r="C34" s="21" t="inlineStr">
        <is>
          <t>교차로 맵 수집·인천 마스터</t>
        </is>
      </c>
      <c r="D34" s="9" t="inlineStr">
        <is>
          <t>구현</t>
        </is>
      </c>
      <c r="E34" s="9" t="inlineStr">
        <is>
          <t>수집 (S2–S3)</t>
        </is>
      </c>
      <c r="F34" s="11" t="n">
        <v>0.5</v>
      </c>
      <c r="G34" s="9" t="n">
        <v>7</v>
      </c>
      <c r="H34" s="9" t="n">
        <v>7</v>
      </c>
      <c r="I34" s="12">
        <f>표지!$C$15+7*(G34-1)</f>
        <v/>
      </c>
      <c r="J34" s="12">
        <f>표지!$C$15+7*(H34-1)+6</f>
        <v/>
      </c>
      <c r="K34" s="9" t="inlineStr">
        <is>
          <t>기경현</t>
        </is>
      </c>
      <c r="L34" s="13" t="inlineStr">
        <is>
          <t>4.1.2, 4.2.6</t>
        </is>
      </c>
      <c r="M34" s="13" t="inlineStr">
        <is>
          <t>교차로 마스터</t>
        </is>
      </c>
      <c r="N34" s="9" t="inlineStr">
        <is>
          <t>US-COL-01</t>
        </is>
      </c>
      <c r="O34" s="9" t="inlineStr">
        <is>
          <t>대기</t>
        </is>
      </c>
      <c r="P34" s="14" t="n">
        <v>0</v>
      </c>
      <c r="Q34" s="11">
        <f>IF(OR($O34="제외",$O34="보류"),0,$F34*$P34)</f>
        <v/>
      </c>
      <c r="R34" s="13" t="inlineStr">
        <is>
          <t>재추정 1.0→0.5</t>
        </is>
      </c>
    </row>
    <row r="35" outlineLevel="2" ht="24" customHeight="1">
      <c r="A35" s="9" t="inlineStr">
        <is>
          <t>4.2.2</t>
        </is>
      </c>
      <c r="B35" s="9" t="inlineStr">
        <is>
          <t>작업</t>
        </is>
      </c>
      <c r="C35" s="21" t="inlineStr">
        <is>
          <t>실시간 상태 배치 수집·수신 시각</t>
        </is>
      </c>
      <c r="D35" s="9" t="inlineStr">
        <is>
          <t>구현</t>
        </is>
      </c>
      <c r="E35" s="9" t="inlineStr">
        <is>
          <t>수집 (S2–S3)</t>
        </is>
      </c>
      <c r="F35" s="11" t="n">
        <v>1</v>
      </c>
      <c r="G35" s="9" t="n">
        <v>7</v>
      </c>
      <c r="H35" s="9" t="n">
        <v>7</v>
      </c>
      <c r="I35" s="12">
        <f>표지!$C$15+7*(G35-1)</f>
        <v/>
      </c>
      <c r="J35" s="12">
        <f>표지!$C$15+7*(H35-1)+6</f>
        <v/>
      </c>
      <c r="K35" s="9" t="inlineStr">
        <is>
          <t>기경현</t>
        </is>
      </c>
      <c r="L35" s="13" t="inlineStr">
        <is>
          <t>4.2.1</t>
        </is>
      </c>
      <c r="M35" s="13" t="inlineStr">
        <is>
          <t>원본 수신 적재</t>
        </is>
      </c>
      <c r="N35" s="9" t="inlineStr">
        <is>
          <t>US-COL-02</t>
        </is>
      </c>
      <c r="O35" s="9" t="inlineStr">
        <is>
          <t>대기</t>
        </is>
      </c>
      <c r="P35" s="14" t="n">
        <v>0</v>
      </c>
      <c r="Q35" s="11">
        <f>IF(OR($O35="제외",$O35="보류"),0,$F35*$P35)</f>
        <v/>
      </c>
      <c r="R35" s="13" t="inlineStr">
        <is>
          <t>재추정 2.0→1.0. 원본 불변</t>
        </is>
      </c>
    </row>
    <row r="36" outlineLevel="2" ht="24" customHeight="1">
      <c r="A36" s="9" t="inlineStr">
        <is>
          <t>4.2.3</t>
        </is>
      </c>
      <c r="B36" s="9" t="inlineStr">
        <is>
          <t>작업</t>
        </is>
      </c>
      <c r="C36" s="21" t="inlineStr">
        <is>
          <t>수신 정규화(센티초→초, 점등 코드)</t>
        </is>
      </c>
      <c r="D36" s="9" t="inlineStr">
        <is>
          <t>구현</t>
        </is>
      </c>
      <c r="E36" s="9" t="inlineStr">
        <is>
          <t>수집 (S2–S3)</t>
        </is>
      </c>
      <c r="F36" s="11" t="n">
        <v>0.5</v>
      </c>
      <c r="G36" s="9" t="n">
        <v>7</v>
      </c>
      <c r="H36" s="9" t="n">
        <v>7</v>
      </c>
      <c r="I36" s="12">
        <f>표지!$C$15+7*(G36-1)</f>
        <v/>
      </c>
      <c r="J36" s="12">
        <f>표지!$C$15+7*(H36-1)+6</f>
        <v/>
      </c>
      <c r="K36" s="9" t="inlineStr">
        <is>
          <t>기경현</t>
        </is>
      </c>
      <c r="L36" s="13" t="inlineStr">
        <is>
          <t>4.2.2</t>
        </is>
      </c>
      <c r="M36" s="13" t="inlineStr">
        <is>
          <t>정규화 상태</t>
        </is>
      </c>
      <c r="N36" s="9" t="inlineStr">
        <is>
          <t>US-COL-04</t>
        </is>
      </c>
      <c r="O36" s="9" t="inlineStr">
        <is>
          <t>대기</t>
        </is>
      </c>
      <c r="P36" s="14" t="n">
        <v>0</v>
      </c>
      <c r="Q36" s="11">
        <f>IF(OR($O36="제외",$O36="보류"),0,$F36*$P36)</f>
        <v/>
      </c>
      <c r="R36" s="13" t="inlineStr"/>
    </row>
    <row r="37" outlineLevel="2" ht="24" customHeight="1">
      <c r="A37" s="9" t="inlineStr">
        <is>
          <t>4.2.4</t>
        </is>
      </c>
      <c r="B37" s="9" t="inlineStr">
        <is>
          <t>작업</t>
        </is>
      </c>
      <c r="C37" s="21" t="inlineStr">
        <is>
          <t>쿼터 가드·사용량 API</t>
        </is>
      </c>
      <c r="D37" s="9" t="inlineStr">
        <is>
          <t>구현</t>
        </is>
      </c>
      <c r="E37" s="9" t="inlineStr">
        <is>
          <t>수집 (S2–S3)</t>
        </is>
      </c>
      <c r="F37" s="11" t="n">
        <v>0.5</v>
      </c>
      <c r="G37" s="9" t="n">
        <v>7</v>
      </c>
      <c r="H37" s="9" t="n">
        <v>7</v>
      </c>
      <c r="I37" s="12">
        <f>표지!$C$15+7*(G37-1)</f>
        <v/>
      </c>
      <c r="J37" s="12">
        <f>표지!$C$15+7*(H37-1)+6</f>
        <v/>
      </c>
      <c r="K37" s="9" t="inlineStr">
        <is>
          <t>기경현</t>
        </is>
      </c>
      <c r="L37" s="13" t="inlineStr">
        <is>
          <t>4.2.2</t>
        </is>
      </c>
      <c r="M37" s="13" t="inlineStr">
        <is>
          <t>일 5,000 한도 준수</t>
        </is>
      </c>
      <c r="N37" s="9" t="inlineStr">
        <is>
          <t>US-COL-05</t>
        </is>
      </c>
      <c r="O37" s="9" t="inlineStr">
        <is>
          <t>대기</t>
        </is>
      </c>
      <c r="P37" s="14" t="n">
        <v>0</v>
      </c>
      <c r="Q37" s="11">
        <f>IF(OR($O37="제외",$O37="보류"),0,$F37*$P37)</f>
        <v/>
      </c>
      <c r="R37" s="13" t="inlineStr">
        <is>
          <t>재추정 1.0→0.5. 자르지 않음</t>
        </is>
      </c>
    </row>
    <row r="38" outlineLevel="2" ht="24" customHeight="1">
      <c r="A38" s="9" t="inlineStr">
        <is>
          <t>4.2.5</t>
        </is>
      </c>
      <c r="B38" s="9" t="inlineStr">
        <is>
          <t>작업</t>
        </is>
      </c>
      <c r="C38" s="21" t="inlineStr">
        <is>
          <t>실패 재시도·부분 실패 우선</t>
        </is>
      </c>
      <c r="D38" s="9" t="inlineStr">
        <is>
          <t>구현</t>
        </is>
      </c>
      <c r="E38" s="9" t="inlineStr">
        <is>
          <t>수집 (S2–S3)</t>
        </is>
      </c>
      <c r="F38" s="11" t="n">
        <v>0.5</v>
      </c>
      <c r="G38" s="9" t="n">
        <v>8</v>
      </c>
      <c r="H38" s="9" t="n">
        <v>8</v>
      </c>
      <c r="I38" s="12">
        <f>표지!$C$15+7*(G38-1)</f>
        <v/>
      </c>
      <c r="J38" s="12">
        <f>표지!$C$15+7*(H38-1)+6</f>
        <v/>
      </c>
      <c r="K38" s="9" t="inlineStr">
        <is>
          <t>기경현</t>
        </is>
      </c>
      <c r="L38" s="13" t="inlineStr">
        <is>
          <t>4.2.2</t>
        </is>
      </c>
      <c r="M38" s="13" t="inlineStr">
        <is>
          <t>실패 큐</t>
        </is>
      </c>
      <c r="N38" s="9" t="inlineStr">
        <is>
          <t>US-COL-03</t>
        </is>
      </c>
      <c r="O38" s="9" t="inlineStr">
        <is>
          <t>대기</t>
        </is>
      </c>
      <c r="P38" s="14" t="n">
        <v>0</v>
      </c>
      <c r="Q38" s="11">
        <f>IF(OR($O38="제외",$O38="보류"),0,$F38*$P38)</f>
        <v/>
      </c>
      <c r="R38" s="13" t="inlineStr">
        <is>
          <t>재추정 1.0→0.5</t>
        </is>
      </c>
    </row>
    <row r="39" outlineLevel="2" ht="24" customHeight="1">
      <c r="A39" s="9" t="inlineStr">
        <is>
          <t>4.2.6</t>
        </is>
      </c>
      <c r="B39" s="9" t="inlineStr">
        <is>
          <t>작업</t>
        </is>
      </c>
      <c r="C39" s="21" t="inlineStr">
        <is>
          <t>수집 대상·주기 설정 UI</t>
        </is>
      </c>
      <c r="D39" s="9" t="inlineStr">
        <is>
          <t>구현</t>
        </is>
      </c>
      <c r="E39" s="9" t="inlineStr">
        <is>
          <t>수집 (S2–S3)</t>
        </is>
      </c>
      <c r="F39" s="11" t="n">
        <v>1</v>
      </c>
      <c r="G39" s="9" t="n">
        <v>7</v>
      </c>
      <c r="H39" s="9" t="n">
        <v>7</v>
      </c>
      <c r="I39" s="12">
        <f>표지!$C$15+7*(G39-1)</f>
        <v/>
      </c>
      <c r="J39" s="12">
        <f>표지!$C$15+7*(H39-1)+6</f>
        <v/>
      </c>
      <c r="K39" s="9" t="inlineStr">
        <is>
          <t>조찬희</t>
        </is>
      </c>
      <c r="L39" s="13" t="inlineStr">
        <is>
          <t>4.1.6</t>
        </is>
      </c>
      <c r="M39" s="13" t="inlineStr">
        <is>
          <t>최소 목록 추가·제외</t>
        </is>
      </c>
      <c r="N39" s="9" t="inlineStr">
        <is>
          <t>US-ADM-03</t>
        </is>
      </c>
      <c r="O39" s="9" t="inlineStr">
        <is>
          <t>대기</t>
        </is>
      </c>
      <c r="P39" s="14" t="n">
        <v>0</v>
      </c>
      <c r="Q39" s="11">
        <f>IF(OR($O39="제외",$O39="보류"),0,$F39*$P39)</f>
        <v/>
      </c>
      <c r="R39" s="13" t="inlineStr"/>
    </row>
    <row r="40" outlineLevel="1" ht="20" customHeight="1">
      <c r="A40" s="15" t="inlineStr">
        <is>
          <t>4.3</t>
        </is>
      </c>
      <c r="B40" s="15" t="inlineStr">
        <is>
          <t>활동</t>
        </is>
      </c>
      <c r="C40" s="16" t="inlineStr">
        <is>
          <t>계획 (S2–S3, S5)</t>
        </is>
      </c>
      <c r="D40" s="15" t="inlineStr">
        <is>
          <t>구현</t>
        </is>
      </c>
      <c r="E40" s="15" t="inlineStr">
        <is>
          <t>계획 (S2–S3, S5)</t>
        </is>
      </c>
      <c r="F40" s="17">
        <f>SUMIFS($F$5:$F$90,$B$5:$B$90,"작업",$E$5:$E$90,$E40,$O$5:$O$90,"&lt;&gt;제외",$O$5:$O$90,"&lt;&gt;보류")</f>
        <v/>
      </c>
      <c r="G40" s="15">
        <f>MIN(G41:G45)</f>
        <v/>
      </c>
      <c r="H40" s="15">
        <f>MAX(H41:H45)</f>
        <v/>
      </c>
      <c r="I40" s="18">
        <f>표지!$C$15+7*(G40-1)</f>
        <v/>
      </c>
      <c r="J40" s="18">
        <f>표지!$C$15+7*(H40-1)+6</f>
        <v/>
      </c>
      <c r="K40" s="15" t="inlineStr"/>
      <c r="L40" s="19" t="n"/>
      <c r="M40" s="19" t="n"/>
      <c r="N40" s="15" t="n"/>
      <c r="O40" s="15">
        <f>IF($F40=0,"-",IF($Q40&gt;=$F40,"완료",IF($Q40&gt;0,"진행중","대기")))</f>
        <v/>
      </c>
      <c r="P40" s="20">
        <f>IF($F40=0,0,$Q40/$F40)</f>
        <v/>
      </c>
      <c r="Q40" s="17">
        <f>SUMIFS($Q$5:$Q$90,$B$5:$B$90,"작업",$E$5:$E$90,$E40,$O$5:$O$90,"&lt;&gt;제외",$O$5:$O$90,"&lt;&gt;보류")</f>
        <v/>
      </c>
      <c r="R40" s="19">
        <f>TEXT(COUNTIFS($B$5:$B$90,"작업",$E$5:$E$90,$E40),"0")&amp;"개 작업패키지 합계"</f>
        <v/>
      </c>
    </row>
    <row r="41" outlineLevel="2" ht="24" customHeight="1">
      <c r="A41" s="9" t="inlineStr">
        <is>
          <t>4.3.1</t>
        </is>
      </c>
      <c r="B41" s="9" t="inlineStr">
        <is>
          <t>작업</t>
        </is>
      </c>
      <c r="C41" s="21" t="inlineStr">
        <is>
          <t>정규화 계획 스키마·적재</t>
        </is>
      </c>
      <c r="D41" s="9" t="inlineStr">
        <is>
          <t>구현</t>
        </is>
      </c>
      <c r="E41" s="9" t="inlineStr">
        <is>
          <t>계획 (S2–S3, S5)</t>
        </is>
      </c>
      <c r="F41" s="11" t="n">
        <v>0.5</v>
      </c>
      <c r="G41" s="9" t="n">
        <v>7</v>
      </c>
      <c r="H41" s="9" t="n">
        <v>7</v>
      </c>
      <c r="I41" s="12">
        <f>표지!$C$15+7*(G41-1)</f>
        <v/>
      </c>
      <c r="J41" s="12">
        <f>표지!$C$15+7*(H41-1)+6</f>
        <v/>
      </c>
      <c r="K41" s="9" t="inlineStr">
        <is>
          <t>기경현</t>
        </is>
      </c>
      <c r="L41" s="13" t="inlineStr">
        <is>
          <t>4.1.2</t>
        </is>
      </c>
      <c r="M41" s="13" t="inlineStr">
        <is>
          <t>signal_plan</t>
        </is>
      </c>
      <c r="N41" s="9" t="inlineStr">
        <is>
          <t>US-PLN-01</t>
        </is>
      </c>
      <c r="O41" s="9" t="inlineStr">
        <is>
          <t>대기</t>
        </is>
      </c>
      <c r="P41" s="14" t="n">
        <v>0</v>
      </c>
      <c r="Q41" s="11">
        <f>IF(OR($O41="제외",$O41="보류"),0,$F41*$P41)</f>
        <v/>
      </c>
      <c r="R41" s="13" t="inlineStr">
        <is>
          <t>재추정 1.0→0.5. S3→S2 선행</t>
        </is>
      </c>
    </row>
    <row r="42" outlineLevel="2" ht="24" customHeight="1">
      <c r="A42" s="9" t="inlineStr">
        <is>
          <t>4.3.2</t>
        </is>
      </c>
      <c r="B42" s="9" t="inlineStr">
        <is>
          <t>작업</t>
        </is>
      </c>
      <c r="C42" s="21" t="inlineStr">
        <is>
          <t>승인 전 계획 대체(시드/수동/추정)</t>
        </is>
      </c>
      <c r="D42" s="9" t="inlineStr">
        <is>
          <t>구현</t>
        </is>
      </c>
      <c r="E42" s="9" t="inlineStr">
        <is>
          <t>계획 (S2–S3, S5)</t>
        </is>
      </c>
      <c r="F42" s="11" t="n">
        <v>1</v>
      </c>
      <c r="G42" s="9" t="n">
        <v>8</v>
      </c>
      <c r="H42" s="9" t="n">
        <v>8</v>
      </c>
      <c r="I42" s="12">
        <f>표지!$C$15+7*(G42-1)</f>
        <v/>
      </c>
      <c r="J42" s="12">
        <f>표지!$C$15+7*(H42-1)+6</f>
        <v/>
      </c>
      <c r="K42" s="9" t="inlineStr">
        <is>
          <t>기경현</t>
        </is>
      </c>
      <c r="L42" s="13" t="inlineStr">
        <is>
          <t>4.3.1, 4.1.4</t>
        </is>
      </c>
      <c r="M42" s="13" t="inlineStr">
        <is>
          <t>대체 계획</t>
        </is>
      </c>
      <c r="N42" s="9" t="inlineStr">
        <is>
          <t>US-PLN-03</t>
        </is>
      </c>
      <c r="O42" s="9" t="inlineStr">
        <is>
          <t>대기</t>
        </is>
      </c>
      <c r="P42" s="14" t="n">
        <v>0</v>
      </c>
      <c r="Q42" s="11">
        <f>IF(OR($O42="제외",$O42="보류"),0,$F42*$P42)</f>
        <v/>
      </c>
      <c r="R42" s="13" t="inlineStr">
        <is>
          <t>UTIC 미승인 대비</t>
        </is>
      </c>
    </row>
    <row r="43" outlineLevel="2" ht="24" customHeight="1">
      <c r="A43" s="9" t="inlineStr">
        <is>
          <t>4.3.3</t>
        </is>
      </c>
      <c r="B43" s="9" t="inlineStr">
        <is>
          <t>작업</t>
        </is>
      </c>
      <c r="C43" s="21" t="inlineStr">
        <is>
          <t>계획 조회·편집 화면</t>
        </is>
      </c>
      <c r="D43" s="9" t="inlineStr">
        <is>
          <t>구현</t>
        </is>
      </c>
      <c r="E43" s="9" t="inlineStr">
        <is>
          <t>계획 (S2–S3, S5)</t>
        </is>
      </c>
      <c r="F43" s="11" t="n">
        <v>1.5</v>
      </c>
      <c r="G43" s="9" t="n">
        <v>8</v>
      </c>
      <c r="H43" s="9" t="n">
        <v>10</v>
      </c>
      <c r="I43" s="12">
        <f>표지!$C$15+7*(G43-1)</f>
        <v/>
      </c>
      <c r="J43" s="12">
        <f>표지!$C$15+7*(H43-1)+6</f>
        <v/>
      </c>
      <c r="K43" s="9" t="inlineStr">
        <is>
          <t>조찬희</t>
        </is>
      </c>
      <c r="L43" s="13" t="inlineStr">
        <is>
          <t>4.3.1</t>
        </is>
      </c>
      <c r="M43" s="13" t="inlineStr">
        <is>
          <t>계획 화면</t>
        </is>
      </c>
      <c r="N43" s="9" t="inlineStr">
        <is>
          <t>US-PLN-05</t>
        </is>
      </c>
      <c r="O43" s="9" t="inlineStr">
        <is>
          <t>대기</t>
        </is>
      </c>
      <c r="P43" s="14" t="n">
        <v>0</v>
      </c>
      <c r="Q43" s="11">
        <f>IF(OR($O43="제외",$O43="보류"),0,$F43*$P43)</f>
        <v/>
      </c>
      <c r="R43" s="13" t="inlineStr">
        <is>
          <t>S3–S5 3주 분산</t>
        </is>
      </c>
    </row>
    <row r="44" outlineLevel="2" ht="24" customHeight="1">
      <c r="A44" s="9" t="inlineStr">
        <is>
          <t>4.3.4</t>
        </is>
      </c>
      <c r="B44" s="9" t="inlineStr">
        <is>
          <t>작업</t>
        </is>
      </c>
      <c r="C44" s="21" t="inlineStr">
        <is>
          <t>교차로 ID 매핑 확정 UI</t>
        </is>
      </c>
      <c r="D44" s="9" t="inlineStr">
        <is>
          <t>구현</t>
        </is>
      </c>
      <c r="E44" s="9" t="inlineStr">
        <is>
          <t>계획 (S2–S3, S5)</t>
        </is>
      </c>
      <c r="F44" s="11" t="n">
        <v>0.5</v>
      </c>
      <c r="G44" s="9" t="n">
        <v>8</v>
      </c>
      <c r="H44" s="9" t="n">
        <v>8</v>
      </c>
      <c r="I44" s="12">
        <f>표지!$C$15+7*(G44-1)</f>
        <v/>
      </c>
      <c r="J44" s="12">
        <f>표지!$C$15+7*(H44-1)+6</f>
        <v/>
      </c>
      <c r="K44" s="9" t="inlineStr">
        <is>
          <t>공동</t>
        </is>
      </c>
      <c r="L44" s="13" t="inlineStr">
        <is>
          <t>4.3.1</t>
        </is>
      </c>
      <c r="M44" s="13" t="inlineStr">
        <is>
          <t>매핑 테이블</t>
        </is>
      </c>
      <c r="N44" s="9" t="inlineStr">
        <is>
          <t>US-PLN-04</t>
        </is>
      </c>
      <c r="O44" s="9" t="inlineStr">
        <is>
          <t>대기</t>
        </is>
      </c>
      <c r="P44" s="14" t="n">
        <v>0</v>
      </c>
      <c r="Q44" s="11">
        <f>IF(OR($O44="제외",$O44="보류"),0,$F44*$P44)</f>
        <v/>
      </c>
      <c r="R44" s="13" t="inlineStr">
        <is>
          <t>재추정 1.0→0.5. S6→S3 선행</t>
        </is>
      </c>
    </row>
    <row r="45" outlineLevel="2" ht="24" customHeight="1">
      <c r="A45" s="9" t="inlineStr">
        <is>
          <t>4.3.5</t>
        </is>
      </c>
      <c r="B45" s="9" t="inlineStr">
        <is>
          <t>작업</t>
        </is>
      </c>
      <c r="C45" s="21" t="inlineStr">
        <is>
          <t>UTIC 계획 일 1회 수집</t>
        </is>
      </c>
      <c r="D45" s="9" t="inlineStr">
        <is>
          <t>구현</t>
        </is>
      </c>
      <c r="E45" s="9" t="inlineStr">
        <is>
          <t>계획 (S2–S3, S5)</t>
        </is>
      </c>
      <c r="F45" s="11" t="n">
        <v>2</v>
      </c>
      <c r="G45" s="9" t="n">
        <v>11</v>
      </c>
      <c r="H45" s="9" t="n">
        <v>14</v>
      </c>
      <c r="I45" s="12">
        <f>표지!$C$15+7*(G45-1)</f>
        <v/>
      </c>
      <c r="J45" s="12">
        <f>표지!$C$15+7*(H45-1)+6</f>
        <v/>
      </c>
      <c r="K45" s="9" t="inlineStr">
        <is>
          <t>기경현</t>
        </is>
      </c>
      <c r="L45" s="13" t="inlineStr">
        <is>
          <t>UTIC 승인</t>
        </is>
      </c>
      <c r="M45" s="13" t="inlineStr">
        <is>
          <t>TOD·SIGNALMAP</t>
        </is>
      </c>
      <c r="N45" s="9" t="inlineStr">
        <is>
          <t>US-PLN-02</t>
        </is>
      </c>
      <c r="O45" s="9" t="inlineStr">
        <is>
          <t>보류</t>
        </is>
      </c>
      <c r="P45" s="14" t="n">
        <v>0</v>
      </c>
      <c r="Q45" s="11">
        <f>IF(OR($O45="제외",$O45="보류"),0,$F45*$P45)</f>
        <v/>
      </c>
      <c r="R45" s="13" t="inlineStr">
        <is>
          <t>Should. 승인 전 커밋 안 함. 계획 밖</t>
        </is>
      </c>
    </row>
    <row r="46" outlineLevel="1" ht="20" customHeight="1">
      <c r="A46" s="15" t="inlineStr">
        <is>
          <t>4.4</t>
        </is>
      </c>
      <c r="B46" s="15" t="inlineStr">
        <is>
          <t>활동</t>
        </is>
      </c>
      <c r="C46" s="16" t="inlineStr">
        <is>
          <t>검지 (S3–S5)</t>
        </is>
      </c>
      <c r="D46" s="15" t="inlineStr">
        <is>
          <t>구현</t>
        </is>
      </c>
      <c r="E46" s="15" t="inlineStr">
        <is>
          <t>검지 (S3–S5)</t>
        </is>
      </c>
      <c r="F46" s="17">
        <f>SUMIFS($F$5:$F$90,$B$5:$B$90,"작업",$E$5:$E$90,$E46,$O$5:$O$90,"&lt;&gt;제외",$O$5:$O$90,"&lt;&gt;보류")</f>
        <v/>
      </c>
      <c r="G46" s="15">
        <f>MIN(G47:G53)</f>
        <v/>
      </c>
      <c r="H46" s="15">
        <f>MAX(H47:H53)</f>
        <v/>
      </c>
      <c r="I46" s="18">
        <f>표지!$C$15+7*(G46-1)</f>
        <v/>
      </c>
      <c r="J46" s="18">
        <f>표지!$C$15+7*(H46-1)+6</f>
        <v/>
      </c>
      <c r="K46" s="15" t="inlineStr"/>
      <c r="L46" s="19" t="n"/>
      <c r="M46" s="19" t="n"/>
      <c r="N46" s="15" t="n"/>
      <c r="O46" s="15">
        <f>IF($F46=0,"-",IF($Q46&gt;=$F46,"완료",IF($Q46&gt;0,"진행중","대기")))</f>
        <v/>
      </c>
      <c r="P46" s="20">
        <f>IF($F46=0,0,$Q46/$F46)</f>
        <v/>
      </c>
      <c r="Q46" s="17">
        <f>SUMIFS($Q$5:$Q$90,$B$5:$B$90,"작업",$E$5:$E$90,$E46,$O$5:$O$90,"&lt;&gt;제외",$O$5:$O$90,"&lt;&gt;보류")</f>
        <v/>
      </c>
      <c r="R46" s="19">
        <f>TEXT(COUNTIFS($B$5:$B$90,"작업",$E$5:$E$90,$E46),"0")&amp;"개 작업패키지 합계"</f>
        <v/>
      </c>
    </row>
    <row r="47" outlineLevel="2" ht="24" customHeight="1">
      <c r="A47" s="9" t="inlineStr">
        <is>
          <t>4.4.1</t>
        </is>
      </c>
      <c r="B47" s="9" t="inlineStr">
        <is>
          <t>작업</t>
        </is>
      </c>
      <c r="C47" s="21" t="inlineStr">
        <is>
          <t>규칙 엔진 골격·설정 임계값</t>
        </is>
      </c>
      <c r="D47" s="9" t="inlineStr">
        <is>
          <t>구현</t>
        </is>
      </c>
      <c r="E47" s="9" t="inlineStr">
        <is>
          <t>검지 (S3–S5)</t>
        </is>
      </c>
      <c r="F47" s="11" t="n">
        <v>1.5</v>
      </c>
      <c r="G47" s="9" t="n">
        <v>8</v>
      </c>
      <c r="H47" s="9" t="n">
        <v>8</v>
      </c>
      <c r="I47" s="12">
        <f>표지!$C$15+7*(G47-1)</f>
        <v/>
      </c>
      <c r="J47" s="12">
        <f>표지!$C$15+7*(H47-1)+6</f>
        <v/>
      </c>
      <c r="K47" s="9" t="inlineStr">
        <is>
          <t>기경현</t>
        </is>
      </c>
      <c r="L47" s="13" t="inlineStr">
        <is>
          <t>4.2.3, 3.6</t>
        </is>
      </c>
      <c r="M47" s="13" t="inlineStr">
        <is>
          <t>규칙 엔진</t>
        </is>
      </c>
      <c r="N47" s="9" t="inlineStr">
        <is>
          <t>US-VAL-01</t>
        </is>
      </c>
      <c r="O47" s="9" t="inlineStr">
        <is>
          <t>대기</t>
        </is>
      </c>
      <c r="P47" s="14" t="n">
        <v>0</v>
      </c>
      <c r="Q47" s="11">
        <f>IF(OR($O47="제외",$O47="보류"),0,$F47*$P47)</f>
        <v/>
      </c>
      <c r="R47" s="13" t="inlineStr">
        <is>
          <t>재추정 2.0→1.5</t>
        </is>
      </c>
    </row>
    <row r="48" outlineLevel="2" ht="24" customHeight="1">
      <c r="A48" s="9" t="inlineStr">
        <is>
          <t>4.4.2</t>
        </is>
      </c>
      <c r="B48" s="9" t="inlineStr">
        <is>
          <t>작업</t>
        </is>
      </c>
      <c r="C48" s="21" t="inlineStr">
        <is>
          <t>오류 등급 INFO~CRITICAL</t>
        </is>
      </c>
      <c r="D48" s="9" t="inlineStr">
        <is>
          <t>구현</t>
        </is>
      </c>
      <c r="E48" s="9" t="inlineStr">
        <is>
          <t>검지 (S3–S5)</t>
        </is>
      </c>
      <c r="F48" s="11" t="n">
        <v>0.5</v>
      </c>
      <c r="G48" s="9" t="n">
        <v>8</v>
      </c>
      <c r="H48" s="9" t="n">
        <v>8</v>
      </c>
      <c r="I48" s="12">
        <f>표지!$C$15+7*(G48-1)</f>
        <v/>
      </c>
      <c r="J48" s="12">
        <f>표지!$C$15+7*(H48-1)+6</f>
        <v/>
      </c>
      <c r="K48" s="9" t="inlineStr">
        <is>
          <t>기경현</t>
        </is>
      </c>
      <c r="L48" s="13" t="inlineStr">
        <is>
          <t>4.4.1</t>
        </is>
      </c>
      <c r="M48" s="13" t="inlineStr">
        <is>
          <t>등급 부여</t>
        </is>
      </c>
      <c r="N48" s="9" t="inlineStr">
        <is>
          <t>US-VAL-04</t>
        </is>
      </c>
      <c r="O48" s="9" t="inlineStr">
        <is>
          <t>대기</t>
        </is>
      </c>
      <c r="P48" s="14" t="n">
        <v>0</v>
      </c>
      <c r="Q48" s="11">
        <f>IF(OR($O48="제외",$O48="보류"),0,$F48*$P48)</f>
        <v/>
      </c>
      <c r="R48" s="13" t="inlineStr"/>
    </row>
    <row r="49" outlineLevel="2" ht="24" customHeight="1">
      <c r="A49" s="9" t="inlineStr">
        <is>
          <t>4.4.3</t>
        </is>
      </c>
      <c r="B49" s="9" t="inlineStr">
        <is>
          <t>작업</t>
        </is>
      </c>
      <c r="C49" s="21" t="inlineStr">
        <is>
          <t>품질·일관성 규칙 R01–R04, R07–R09, R11–R12</t>
        </is>
      </c>
      <c r="D49" s="9" t="inlineStr">
        <is>
          <t>구현</t>
        </is>
      </c>
      <c r="E49" s="9" t="inlineStr">
        <is>
          <t>검지 (S3–S5)</t>
        </is>
      </c>
      <c r="F49" s="11" t="n">
        <v>1.5</v>
      </c>
      <c r="G49" s="9" t="n">
        <v>8</v>
      </c>
      <c r="H49" s="9" t="n">
        <v>9</v>
      </c>
      <c r="I49" s="12">
        <f>표지!$C$15+7*(G49-1)</f>
        <v/>
      </c>
      <c r="J49" s="12">
        <f>표지!$C$15+7*(H49-1)+6</f>
        <v/>
      </c>
      <c r="K49" s="9" t="inlineStr">
        <is>
          <t>기경현</t>
        </is>
      </c>
      <c r="L49" s="13" t="inlineStr">
        <is>
          <t>4.4.1</t>
        </is>
      </c>
      <c r="M49" s="13" t="inlineStr">
        <is>
          <t>검지 결과</t>
        </is>
      </c>
      <c r="N49" s="9" t="inlineStr">
        <is>
          <t>US-VAL-02</t>
        </is>
      </c>
      <c r="O49" s="9" t="inlineStr">
        <is>
          <t>대기</t>
        </is>
      </c>
      <c r="P49" s="14" t="n">
        <v>0</v>
      </c>
      <c r="Q49" s="11">
        <f>IF(OR($O49="제외",$O49="보류"),0,$F49*$P49)</f>
        <v/>
      </c>
      <c r="R49" s="13" t="inlineStr">
        <is>
          <t>재추정 2.0→1.5, S3–S4 분산</t>
        </is>
      </c>
    </row>
    <row r="50" outlineLevel="2" ht="24" customHeight="1">
      <c r="A50" s="9" t="inlineStr">
        <is>
          <t>4.4.4</t>
        </is>
      </c>
      <c r="B50" s="9" t="inlineStr">
        <is>
          <t>작업</t>
        </is>
      </c>
      <c r="C50" s="21" t="inlineStr">
        <is>
          <t>계획 대비 상태 대조 R05, R10</t>
        </is>
      </c>
      <c r="D50" s="9" t="inlineStr">
        <is>
          <t>구현</t>
        </is>
      </c>
      <c r="E50" s="9" t="inlineStr">
        <is>
          <t>검지 (S3–S5)</t>
        </is>
      </c>
      <c r="F50" s="11" t="n">
        <v>1</v>
      </c>
      <c r="G50" s="9" t="n">
        <v>9</v>
      </c>
      <c r="H50" s="9" t="n">
        <v>9</v>
      </c>
      <c r="I50" s="12">
        <f>표지!$C$15+7*(G50-1)</f>
        <v/>
      </c>
      <c r="J50" s="12">
        <f>표지!$C$15+7*(H50-1)+6</f>
        <v/>
      </c>
      <c r="K50" s="9" t="inlineStr">
        <is>
          <t>기경현</t>
        </is>
      </c>
      <c r="L50" s="13" t="inlineStr">
        <is>
          <t>4.4.1, 4.3.2</t>
        </is>
      </c>
      <c r="M50" s="13" t="inlineStr">
        <is>
          <t>대조 결과</t>
        </is>
      </c>
      <c r="N50" s="9" t="inlineStr">
        <is>
          <t>US-VAL-03</t>
        </is>
      </c>
      <c r="O50" s="9" t="inlineStr">
        <is>
          <t>대기</t>
        </is>
      </c>
      <c r="P50" s="14" t="n">
        <v>0</v>
      </c>
      <c r="Q50" s="11">
        <f>IF(OR($O50="제외",$O50="보류"),0,$F50*$P50)</f>
        <v/>
      </c>
      <c r="R50" s="13" t="inlineStr">
        <is>
          <t>재추정 2.0→1.0</t>
        </is>
      </c>
    </row>
    <row r="51" outlineLevel="2" ht="24" customHeight="1">
      <c r="A51" s="9" t="inlineStr">
        <is>
          <t>4.4.5</t>
        </is>
      </c>
      <c r="B51" s="9" t="inlineStr">
        <is>
          <t>작업</t>
        </is>
      </c>
      <c r="C51" s="21" t="inlineStr">
        <is>
          <t>자동 정보 통제·보정 로그</t>
        </is>
      </c>
      <c r="D51" s="9" t="inlineStr">
        <is>
          <t>구현</t>
        </is>
      </c>
      <c r="E51" s="9" t="inlineStr">
        <is>
          <t>검지 (S3–S5)</t>
        </is>
      </c>
      <c r="F51" s="11" t="n">
        <v>1</v>
      </c>
      <c r="G51" s="9" t="n">
        <v>9</v>
      </c>
      <c r="H51" s="9" t="n">
        <v>9</v>
      </c>
      <c r="I51" s="12">
        <f>표지!$C$15+7*(G51-1)</f>
        <v/>
      </c>
      <c r="J51" s="12">
        <f>표지!$C$15+7*(H51-1)+6</f>
        <v/>
      </c>
      <c r="K51" s="9" t="inlineStr">
        <is>
          <t>기경현</t>
        </is>
      </c>
      <c r="L51" s="13" t="inlineStr">
        <is>
          <t>4.4.3</t>
        </is>
      </c>
      <c r="M51" s="13" t="inlineStr">
        <is>
          <t>제공 계층만 수정</t>
        </is>
      </c>
      <c r="N51" s="9" t="inlineStr">
        <is>
          <t>US-VAL-05</t>
        </is>
      </c>
      <c r="O51" s="9" t="inlineStr">
        <is>
          <t>대기</t>
        </is>
      </c>
      <c r="P51" s="14" t="n">
        <v>0</v>
      </c>
      <c r="Q51" s="11">
        <f>IF(OR($O51="제외",$O51="보류"),0,$F51*$P51)</f>
        <v/>
      </c>
      <c r="R51" s="13" t="inlineStr">
        <is>
          <t>재추정 2.0→1.0. 원본 불변</t>
        </is>
      </c>
    </row>
    <row r="52" outlineLevel="2" ht="24" customHeight="1">
      <c r="A52" s="9" t="inlineStr">
        <is>
          <t>4.4.6</t>
        </is>
      </c>
      <c r="B52" s="9" t="inlineStr">
        <is>
          <t>작업</t>
        </is>
      </c>
      <c r="C52" s="21" t="inlineStr">
        <is>
          <t>해결 불가 이슈 생성/갱신</t>
        </is>
      </c>
      <c r="D52" s="9" t="inlineStr">
        <is>
          <t>구현</t>
        </is>
      </c>
      <c r="E52" s="9" t="inlineStr">
        <is>
          <t>검지 (S3–S5)</t>
        </is>
      </c>
      <c r="F52" s="11" t="n">
        <v>0.5</v>
      </c>
      <c r="G52" s="9" t="n">
        <v>9</v>
      </c>
      <c r="H52" s="9" t="n">
        <v>9</v>
      </c>
      <c r="I52" s="12">
        <f>표지!$C$15+7*(G52-1)</f>
        <v/>
      </c>
      <c r="J52" s="12">
        <f>표지!$C$15+7*(H52-1)+6</f>
        <v/>
      </c>
      <c r="K52" s="9" t="inlineStr">
        <is>
          <t>기경현</t>
        </is>
      </c>
      <c r="L52" s="13" t="inlineStr">
        <is>
          <t>4.4.3</t>
        </is>
      </c>
      <c r="M52" s="13" t="inlineStr">
        <is>
          <t>이슈 레코드</t>
        </is>
      </c>
      <c r="N52" s="9" t="inlineStr">
        <is>
          <t>US-VAL-06</t>
        </is>
      </c>
      <c r="O52" s="9" t="inlineStr">
        <is>
          <t>대기</t>
        </is>
      </c>
      <c r="P52" s="14" t="n">
        <v>0</v>
      </c>
      <c r="Q52" s="11">
        <f>IF(OR($O52="제외",$O52="보류"),0,$F52*$P52)</f>
        <v/>
      </c>
      <c r="R52" s="13" t="inlineStr">
        <is>
          <t>재추정 1.0→0.5. S5→S4 선행</t>
        </is>
      </c>
    </row>
    <row r="53" outlineLevel="2" ht="24" customHeight="1">
      <c r="A53" s="9" t="inlineStr">
        <is>
          <t>4.4.7</t>
        </is>
      </c>
      <c r="B53" s="9" t="inlineStr">
        <is>
          <t>작업</t>
        </is>
      </c>
      <c r="C53" s="21" t="inlineStr">
        <is>
          <t>규칙 단위 테스트(정상/경계/오류)</t>
        </is>
      </c>
      <c r="D53" s="9" t="inlineStr">
        <is>
          <t>구현</t>
        </is>
      </c>
      <c r="E53" s="9" t="inlineStr">
        <is>
          <t>검지 (S3–S5)</t>
        </is>
      </c>
      <c r="F53" s="11" t="n">
        <v>1</v>
      </c>
      <c r="G53" s="9" t="n">
        <v>8</v>
      </c>
      <c r="H53" s="9" t="n">
        <v>10</v>
      </c>
      <c r="I53" s="12">
        <f>표지!$C$15+7*(G53-1)</f>
        <v/>
      </c>
      <c r="J53" s="12">
        <f>표지!$C$15+7*(H53-1)+6</f>
        <v/>
      </c>
      <c r="K53" s="9" t="inlineStr">
        <is>
          <t>공동</t>
        </is>
      </c>
      <c r="L53" s="13" t="inlineStr">
        <is>
          <t>4.4.3, 4.4.4</t>
        </is>
      </c>
      <c r="M53" s="13" t="inlineStr">
        <is>
          <t>규칙 테스트 결과</t>
        </is>
      </c>
      <c r="N53" s="9" t="inlineStr">
        <is>
          <t>R01–R12</t>
        </is>
      </c>
      <c r="O53" s="9" t="inlineStr">
        <is>
          <t>대기</t>
        </is>
      </c>
      <c r="P53" s="14" t="n">
        <v>0</v>
      </c>
      <c r="Q53" s="11">
        <f>IF(OR($O53="제외",$O53="보류"),0,$F53*$P53)</f>
        <v/>
      </c>
      <c r="R53" s="13" t="inlineStr">
        <is>
          <t>BE 병목 완화로 공동. 3주 분산</t>
        </is>
      </c>
    </row>
    <row r="54" outlineLevel="1" ht="20" customHeight="1">
      <c r="A54" s="15" t="inlineStr">
        <is>
          <t>4.5</t>
        </is>
      </c>
      <c r="B54" s="15" t="inlineStr">
        <is>
          <t>활동</t>
        </is>
      </c>
      <c r="C54" s="16" t="inlineStr">
        <is>
          <t>관제 (S4–S6)</t>
        </is>
      </c>
      <c r="D54" s="15" t="inlineStr">
        <is>
          <t>구현</t>
        </is>
      </c>
      <c r="E54" s="15" t="inlineStr">
        <is>
          <t>관제 (S4–S6)</t>
        </is>
      </c>
      <c r="F54" s="17">
        <f>SUMIFS($F$5:$F$90,$B$5:$B$90,"작업",$E$5:$E$90,$E54,$O$5:$O$90,"&lt;&gt;제외",$O$5:$O$90,"&lt;&gt;보류")</f>
        <v/>
      </c>
      <c r="G54" s="15">
        <f>MIN(G55:G60)</f>
        <v/>
      </c>
      <c r="H54" s="15">
        <f>MAX(H55:H60)</f>
        <v/>
      </c>
      <c r="I54" s="18">
        <f>표지!$C$15+7*(G54-1)</f>
        <v/>
      </c>
      <c r="J54" s="18">
        <f>표지!$C$15+7*(H54-1)+6</f>
        <v/>
      </c>
      <c r="K54" s="15" t="inlineStr"/>
      <c r="L54" s="19" t="n"/>
      <c r="M54" s="19" t="n"/>
      <c r="N54" s="15" t="n"/>
      <c r="O54" s="15">
        <f>IF($F54=0,"-",IF($Q54&gt;=$F54,"완료",IF($Q54&gt;0,"진행중","대기")))</f>
        <v/>
      </c>
      <c r="P54" s="20">
        <f>IF($F54=0,0,$Q54/$F54)</f>
        <v/>
      </c>
      <c r="Q54" s="17">
        <f>SUMIFS($Q$5:$Q$90,$B$5:$B$90,"작업",$E$5:$E$90,$E54,$O$5:$O$90,"&lt;&gt;제외",$O$5:$O$90,"&lt;&gt;보류")</f>
        <v/>
      </c>
      <c r="R54" s="19">
        <f>TEXT(COUNTIFS($B$5:$B$90,"작업",$E$5:$E$90,$E54),"0")&amp;"개 작업패키지 합계"</f>
        <v/>
      </c>
    </row>
    <row r="55" outlineLevel="2" ht="24" customHeight="1">
      <c r="A55" s="9" t="inlineStr">
        <is>
          <t>4.5.1</t>
        </is>
      </c>
      <c r="B55" s="9" t="inlineStr">
        <is>
          <t>작업</t>
        </is>
      </c>
      <c r="C55" s="21" t="inlineStr">
        <is>
          <t>종합 대시보드 지표·차트</t>
        </is>
      </c>
      <c r="D55" s="9" t="inlineStr">
        <is>
          <t>구현</t>
        </is>
      </c>
      <c r="E55" s="9" t="inlineStr">
        <is>
          <t>관제 (S4–S6)</t>
        </is>
      </c>
      <c r="F55" s="11" t="n">
        <v>1.5</v>
      </c>
      <c r="G55" s="9" t="n">
        <v>9</v>
      </c>
      <c r="H55" s="9" t="n">
        <v>10</v>
      </c>
      <c r="I55" s="12">
        <f>표지!$C$15+7*(G55-1)</f>
        <v/>
      </c>
      <c r="J55" s="12">
        <f>표지!$C$15+7*(H55-1)+6</f>
        <v/>
      </c>
      <c r="K55" s="9" t="inlineStr">
        <is>
          <t>조찬희</t>
        </is>
      </c>
      <c r="L55" s="13" t="inlineStr">
        <is>
          <t>4.4.2, 4.4.5</t>
        </is>
      </c>
      <c r="M55" s="13" t="inlineStr">
        <is>
          <t>대시보드</t>
        </is>
      </c>
      <c r="N55" s="9" t="inlineStr">
        <is>
          <t>US-MON-01</t>
        </is>
      </c>
      <c r="O55" s="9" t="inlineStr">
        <is>
          <t>대기</t>
        </is>
      </c>
      <c r="P55" s="14" t="n">
        <v>0</v>
      </c>
      <c r="Q55" s="11">
        <f>IF(OR($O55="제외",$O55="보류"),0,$F55*$P55)</f>
        <v/>
      </c>
      <c r="R55" s="13" t="inlineStr">
        <is>
          <t>재추정 2.5→1.5, S4–S5 분산</t>
        </is>
      </c>
    </row>
    <row r="56" outlineLevel="2" ht="24" customHeight="1">
      <c r="A56" s="9" t="inlineStr">
        <is>
          <t>4.5.2</t>
        </is>
      </c>
      <c r="B56" s="9" t="inlineStr">
        <is>
          <t>작업</t>
        </is>
      </c>
      <c r="C56" s="21" t="inlineStr">
        <is>
          <t>오류·이슈 목록·필터·배지</t>
        </is>
      </c>
      <c r="D56" s="9" t="inlineStr">
        <is>
          <t>구현</t>
        </is>
      </c>
      <c r="E56" s="9" t="inlineStr">
        <is>
          <t>관제 (S4–S6)</t>
        </is>
      </c>
      <c r="F56" s="11" t="n">
        <v>1</v>
      </c>
      <c r="G56" s="9" t="n">
        <v>10</v>
      </c>
      <c r="H56" s="9" t="n">
        <v>10</v>
      </c>
      <c r="I56" s="12">
        <f>표지!$C$15+7*(G56-1)</f>
        <v/>
      </c>
      <c r="J56" s="12">
        <f>표지!$C$15+7*(H56-1)+6</f>
        <v/>
      </c>
      <c r="K56" s="9" t="inlineStr">
        <is>
          <t>조찬희</t>
        </is>
      </c>
      <c r="L56" s="13" t="inlineStr">
        <is>
          <t>4.4.6</t>
        </is>
      </c>
      <c r="M56" s="13" t="inlineStr">
        <is>
          <t>이슈 목록</t>
        </is>
      </c>
      <c r="N56" s="9" t="inlineStr">
        <is>
          <t>US-MON-03</t>
        </is>
      </c>
      <c r="O56" s="9" t="inlineStr">
        <is>
          <t>대기</t>
        </is>
      </c>
      <c r="P56" s="14" t="n">
        <v>0</v>
      </c>
      <c r="Q56" s="11">
        <f>IF(OR($O56="제외",$O56="보류"),0,$F56*$P56)</f>
        <v/>
      </c>
      <c r="R56" s="13" t="inlineStr">
        <is>
          <t>재추정 1.5→1.0</t>
        </is>
      </c>
    </row>
    <row r="57" outlineLevel="2" ht="24" customHeight="1">
      <c r="A57" s="9" t="inlineStr">
        <is>
          <t>4.5.3</t>
        </is>
      </c>
      <c r="B57" s="9" t="inlineStr">
        <is>
          <t>작업</t>
        </is>
      </c>
      <c r="C57" s="21" t="inlineStr">
        <is>
          <t>교차로 상세·잔여시간 타이머 UX</t>
        </is>
      </c>
      <c r="D57" s="9" t="inlineStr">
        <is>
          <t>구현</t>
        </is>
      </c>
      <c r="E57" s="9" t="inlineStr">
        <is>
          <t>관제 (S4–S6)</t>
        </is>
      </c>
      <c r="F57" s="11" t="n">
        <v>1.5</v>
      </c>
      <c r="G57" s="9" t="n">
        <v>10</v>
      </c>
      <c r="H57" s="9" t="n">
        <v>11</v>
      </c>
      <c r="I57" s="12">
        <f>표지!$C$15+7*(G57-1)</f>
        <v/>
      </c>
      <c r="J57" s="12">
        <f>표지!$C$15+7*(H57-1)+6</f>
        <v/>
      </c>
      <c r="K57" s="9" t="inlineStr">
        <is>
          <t>조찬희</t>
        </is>
      </c>
      <c r="L57" s="13" t="inlineStr">
        <is>
          <t>4.2.2, 4.4.2</t>
        </is>
      </c>
      <c r="M57" s="13" t="inlineStr">
        <is>
          <t>상세 화면</t>
        </is>
      </c>
      <c r="N57" s="9" t="inlineStr">
        <is>
          <t>US-MON-02</t>
        </is>
      </c>
      <c r="O57" s="9" t="inlineStr">
        <is>
          <t>대기</t>
        </is>
      </c>
      <c r="P57" s="14" t="n">
        <v>0</v>
      </c>
      <c r="Q57" s="11">
        <f>IF(OR($O57="제외",$O57="보류"),0,$F57*$P57)</f>
        <v/>
      </c>
      <c r="R57" s="13" t="inlineStr">
        <is>
          <t>재추정 2.0→1.5. 시연 Must</t>
        </is>
      </c>
    </row>
    <row r="58" outlineLevel="2" ht="24" customHeight="1">
      <c r="A58" s="9" t="inlineStr">
        <is>
          <t>4.5.4</t>
        </is>
      </c>
      <c r="B58" s="9" t="inlineStr">
        <is>
          <t>작업</t>
        </is>
      </c>
      <c r="C58" s="21" t="inlineStr">
        <is>
          <t>폴링 갱신(푸시 대체)</t>
        </is>
      </c>
      <c r="D58" s="9" t="inlineStr">
        <is>
          <t>구현</t>
        </is>
      </c>
      <c r="E58" s="9" t="inlineStr">
        <is>
          <t>관제 (S4–S6)</t>
        </is>
      </c>
      <c r="F58" s="11" t="n">
        <v>0.5</v>
      </c>
      <c r="G58" s="9" t="n">
        <v>10</v>
      </c>
      <c r="H58" s="9" t="n">
        <v>11</v>
      </c>
      <c r="I58" s="12">
        <f>표지!$C$15+7*(G58-1)</f>
        <v/>
      </c>
      <c r="J58" s="12">
        <f>표지!$C$15+7*(H58-1)+6</f>
        <v/>
      </c>
      <c r="K58" s="9" t="inlineStr">
        <is>
          <t>조찬희</t>
        </is>
      </c>
      <c r="L58" s="13" t="inlineStr">
        <is>
          <t>4.5.1</t>
        </is>
      </c>
      <c r="M58" s="13" t="inlineStr">
        <is>
          <t>주기 갱신</t>
        </is>
      </c>
      <c r="N58" s="9" t="inlineStr">
        <is>
          <t>FR-MON-003-1</t>
        </is>
      </c>
      <c r="O58" s="9" t="inlineStr">
        <is>
          <t>대기</t>
        </is>
      </c>
      <c r="P58" s="14" t="n">
        <v>0</v>
      </c>
      <c r="Q58" s="11">
        <f>IF(OR($O58="제외",$O58="보류"),0,$F58*$P58)</f>
        <v/>
      </c>
      <c r="R58" s="13" t="inlineStr">
        <is>
          <t>Must 대체 경로</t>
        </is>
      </c>
    </row>
    <row r="59" outlineLevel="2" ht="24" customHeight="1">
      <c r="A59" s="22" t="inlineStr">
        <is>
          <t>4.5.5</t>
        </is>
      </c>
      <c r="B59" s="22" t="inlineStr">
        <is>
          <t>작업</t>
        </is>
      </c>
      <c r="C59" s="23" t="inlineStr">
        <is>
          <t>웹소켓 실시간 푸시</t>
        </is>
      </c>
      <c r="D59" s="22" t="inlineStr">
        <is>
          <t>구현</t>
        </is>
      </c>
      <c r="E59" s="22" t="inlineStr">
        <is>
          <t>관제 (S4–S6)</t>
        </is>
      </c>
      <c r="F59" s="24" t="n">
        <v>1.5</v>
      </c>
      <c r="G59" s="22" t="n">
        <v>11</v>
      </c>
      <c r="H59" s="22" t="n">
        <v>15</v>
      </c>
      <c r="I59" s="25">
        <f>표지!$C$15+7*(G59-1)</f>
        <v/>
      </c>
      <c r="J59" s="25">
        <f>표지!$C$15+7*(H59-1)+6</f>
        <v/>
      </c>
      <c r="K59" s="22" t="inlineStr">
        <is>
          <t>공동</t>
        </is>
      </c>
      <c r="L59" s="26" t="inlineStr">
        <is>
          <t>4.5.1</t>
        </is>
      </c>
      <c r="M59" s="26" t="inlineStr">
        <is>
          <t>실시간 푸시</t>
        </is>
      </c>
      <c r="N59" s="22" t="inlineStr">
        <is>
          <t>US-MON-04</t>
        </is>
      </c>
      <c r="O59" s="22" t="inlineStr">
        <is>
          <t>제외</t>
        </is>
      </c>
      <c r="P59" s="27" t="n">
        <v>0</v>
      </c>
      <c r="Q59" s="24">
        <f>IF(OR($O59="제외",$O59="보류"),0,$F59*$P59)</f>
        <v/>
      </c>
      <c r="R59" s="26" t="inlineStr">
        <is>
          <t>Could. 미포함은 결함 아님</t>
        </is>
      </c>
    </row>
    <row r="60" outlineLevel="2" ht="24" customHeight="1">
      <c r="A60" s="22" t="inlineStr">
        <is>
          <t>4.5.6</t>
        </is>
      </c>
      <c r="B60" s="22" t="inlineStr">
        <is>
          <t>작업</t>
        </is>
      </c>
      <c r="C60" s="23" t="inlineStr">
        <is>
          <t>지도 기반 관제</t>
        </is>
      </c>
      <c r="D60" s="22" t="inlineStr">
        <is>
          <t>구현</t>
        </is>
      </c>
      <c r="E60" s="22" t="inlineStr">
        <is>
          <t>관제 (S4–S6)</t>
        </is>
      </c>
      <c r="F60" s="24" t="n">
        <v>2</v>
      </c>
      <c r="G60" s="22" t="n">
        <v>15</v>
      </c>
      <c r="H60" s="22" t="n">
        <v>15</v>
      </c>
      <c r="I60" s="25">
        <f>표지!$C$15+7*(G60-1)</f>
        <v/>
      </c>
      <c r="J60" s="25">
        <f>표지!$C$15+7*(H60-1)+6</f>
        <v/>
      </c>
      <c r="K60" s="22" t="inlineStr">
        <is>
          <t>조찬희</t>
        </is>
      </c>
      <c r="L60" s="26" t="inlineStr">
        <is>
          <t>4.5.3</t>
        </is>
      </c>
      <c r="M60" s="26" t="inlineStr">
        <is>
          <t>지도 화면</t>
        </is>
      </c>
      <c r="N60" s="22" t="inlineStr">
        <is>
          <t>US-MON-05</t>
        </is>
      </c>
      <c r="O60" s="22" t="inlineStr">
        <is>
          <t>제외</t>
        </is>
      </c>
      <c r="P60" s="27" t="n">
        <v>0</v>
      </c>
      <c r="Q60" s="24">
        <f>IF(OR($O60="제외",$O60="보류"),0,$F60*$P60)</f>
        <v/>
      </c>
      <c r="R60" s="26" t="inlineStr">
        <is>
          <t>Could. 15주 여유</t>
        </is>
      </c>
    </row>
    <row r="61" outlineLevel="1" ht="20" customHeight="1">
      <c r="A61" s="15" t="inlineStr">
        <is>
          <t>4.6</t>
        </is>
      </c>
      <c r="B61" s="15" t="inlineStr">
        <is>
          <t>활동</t>
        </is>
      </c>
      <c r="C61" s="16" t="inlineStr">
        <is>
          <t>통제 (S5–S6)</t>
        </is>
      </c>
      <c r="D61" s="15" t="inlineStr">
        <is>
          <t>구현</t>
        </is>
      </c>
      <c r="E61" s="15" t="inlineStr">
        <is>
          <t>통제 (S5–S6)</t>
        </is>
      </c>
      <c r="F61" s="17">
        <f>SUMIFS($F$5:$F$90,$B$5:$B$90,"작업",$E$5:$E$90,$E61,$O$5:$O$90,"&lt;&gt;제외",$O$5:$O$90,"&lt;&gt;보류")</f>
        <v/>
      </c>
      <c r="G61" s="15">
        <f>MIN(G62:G67)</f>
        <v/>
      </c>
      <c r="H61" s="15">
        <f>MAX(H62:H67)</f>
        <v/>
      </c>
      <c r="I61" s="18">
        <f>표지!$C$15+7*(G61-1)</f>
        <v/>
      </c>
      <c r="J61" s="18">
        <f>표지!$C$15+7*(H61-1)+6</f>
        <v/>
      </c>
      <c r="K61" s="15" t="inlineStr"/>
      <c r="L61" s="19" t="n"/>
      <c r="M61" s="19" t="n"/>
      <c r="N61" s="15" t="n"/>
      <c r="O61" s="15">
        <f>IF($F61=0,"-",IF($Q61&gt;=$F61,"완료",IF($Q61&gt;0,"진행중","대기")))</f>
        <v/>
      </c>
      <c r="P61" s="20">
        <f>IF($F61=0,0,$Q61/$F61)</f>
        <v/>
      </c>
      <c r="Q61" s="17">
        <f>SUMIFS($Q$5:$Q$90,$B$5:$B$90,"작업",$E$5:$E$90,$E61,$O$5:$O$90,"&lt;&gt;제외",$O$5:$O$90,"&lt;&gt;보류")</f>
        <v/>
      </c>
      <c r="R61" s="19">
        <f>TEXT(COUNTIFS($B$5:$B$90,"작업",$E$5:$E$90,$E61),"0")&amp;"개 작업패키지 합계"</f>
        <v/>
      </c>
    </row>
    <row r="62" outlineLevel="2" ht="24" customHeight="1">
      <c r="A62" s="9" t="inlineStr">
        <is>
          <t>4.6.1</t>
        </is>
      </c>
      <c r="B62" s="9" t="inlineStr">
        <is>
          <t>작업</t>
        </is>
      </c>
      <c r="C62" s="21" t="inlineStr">
        <is>
          <t>이슈 상태 전이·이력 API/화면</t>
        </is>
      </c>
      <c r="D62" s="9" t="inlineStr">
        <is>
          <t>구현</t>
        </is>
      </c>
      <c r="E62" s="9" t="inlineStr">
        <is>
          <t>통제 (S5–S6)</t>
        </is>
      </c>
      <c r="F62" s="11" t="n">
        <v>1</v>
      </c>
      <c r="G62" s="9" t="n">
        <v>10</v>
      </c>
      <c r="H62" s="9" t="n">
        <v>11</v>
      </c>
      <c r="I62" s="12">
        <f>표지!$C$15+7*(G62-1)</f>
        <v/>
      </c>
      <c r="J62" s="12">
        <f>표지!$C$15+7*(H62-1)+6</f>
        <v/>
      </c>
      <c r="K62" s="9" t="inlineStr">
        <is>
          <t>공동</t>
        </is>
      </c>
      <c r="L62" s="13" t="inlineStr">
        <is>
          <t>4.4.6</t>
        </is>
      </c>
      <c r="M62" s="13" t="inlineStr">
        <is>
          <t>이슈 생명주기</t>
        </is>
      </c>
      <c r="N62" s="9" t="inlineStr">
        <is>
          <t>US-ISS-01</t>
        </is>
      </c>
      <c r="O62" s="9" t="inlineStr">
        <is>
          <t>대기</t>
        </is>
      </c>
      <c r="P62" s="14" t="n">
        <v>0</v>
      </c>
      <c r="Q62" s="11">
        <f>IF(OR($O62="제외",$O62="보류"),0,$F62*$P62)</f>
        <v/>
      </c>
      <c r="R62" s="13" t="inlineStr">
        <is>
          <t>재추정 1.5→1.0, S5–S6 분산</t>
        </is>
      </c>
    </row>
    <row r="63" outlineLevel="2" ht="24" customHeight="1">
      <c r="A63" s="9" t="inlineStr">
        <is>
          <t>4.6.2</t>
        </is>
      </c>
      <c r="B63" s="9" t="inlineStr">
        <is>
          <t>작업</t>
        </is>
      </c>
      <c r="C63" s="21" t="inlineStr">
        <is>
          <t>원본 vs 제공 값 병기 조회</t>
        </is>
      </c>
      <c r="D63" s="9" t="inlineStr">
        <is>
          <t>구현</t>
        </is>
      </c>
      <c r="E63" s="9" t="inlineStr">
        <is>
          <t>통제 (S5–S6)</t>
        </is>
      </c>
      <c r="F63" s="11" t="n">
        <v>0.5</v>
      </c>
      <c r="G63" s="9" t="n">
        <v>10</v>
      </c>
      <c r="H63" s="9" t="n">
        <v>10</v>
      </c>
      <c r="I63" s="12">
        <f>표지!$C$15+7*(G63-1)</f>
        <v/>
      </c>
      <c r="J63" s="12">
        <f>표지!$C$15+7*(H63-1)+6</f>
        <v/>
      </c>
      <c r="K63" s="9" t="inlineStr">
        <is>
          <t>조찬희</t>
        </is>
      </c>
      <c r="L63" s="13" t="inlineStr">
        <is>
          <t>4.4.5</t>
        </is>
      </c>
      <c r="M63" s="13" t="inlineStr">
        <is>
          <t>조회 화면</t>
        </is>
      </c>
      <c r="N63" s="9" t="inlineStr">
        <is>
          <t>US-CTL-05</t>
        </is>
      </c>
      <c r="O63" s="9" t="inlineStr">
        <is>
          <t>대기</t>
        </is>
      </c>
      <c r="P63" s="14" t="n">
        <v>0</v>
      </c>
      <c r="Q63" s="11">
        <f>IF(OR($O63="제외",$O63="보류"),0,$F63*$P63)</f>
        <v/>
      </c>
      <c r="R63" s="13" t="inlineStr">
        <is>
          <t>재추정 1.0→0.5. S6→S5 선행</t>
        </is>
      </c>
    </row>
    <row r="64" outlineLevel="2" ht="24" customHeight="1">
      <c r="A64" s="9" t="inlineStr">
        <is>
          <t>4.6.3</t>
        </is>
      </c>
      <c r="B64" s="9" t="inlineStr">
        <is>
          <t>작업</t>
        </is>
      </c>
      <c r="C64" s="21" t="inlineStr">
        <is>
          <t>제공 값 대체·제공 차단</t>
        </is>
      </c>
      <c r="D64" s="9" t="inlineStr">
        <is>
          <t>구현</t>
        </is>
      </c>
      <c r="E64" s="9" t="inlineStr">
        <is>
          <t>통제 (S5–S6)</t>
        </is>
      </c>
      <c r="F64" s="11" t="n">
        <v>1</v>
      </c>
      <c r="G64" s="9" t="n">
        <v>11</v>
      </c>
      <c r="H64" s="9" t="n">
        <v>11</v>
      </c>
      <c r="I64" s="12">
        <f>표지!$C$15+7*(G64-1)</f>
        <v/>
      </c>
      <c r="J64" s="12">
        <f>표지!$C$15+7*(H64-1)+6</f>
        <v/>
      </c>
      <c r="K64" s="9" t="inlineStr">
        <is>
          <t>기경현</t>
        </is>
      </c>
      <c r="L64" s="13" t="inlineStr">
        <is>
          <t>4.6.1, 4.6.2</t>
        </is>
      </c>
      <c r="M64" s="13" t="inlineStr">
        <is>
          <t>정보 통제</t>
        </is>
      </c>
      <c r="N64" s="9" t="inlineStr">
        <is>
          <t>US-CTL-01</t>
        </is>
      </c>
      <c r="O64" s="9" t="inlineStr">
        <is>
          <t>대기</t>
        </is>
      </c>
      <c r="P64" s="14" t="n">
        <v>0</v>
      </c>
      <c r="Q64" s="11">
        <f>IF(OR($O64="제외",$O64="보류"),0,$F64*$P64)</f>
        <v/>
      </c>
      <c r="R64" s="13" t="inlineStr">
        <is>
          <t>시연 Must</t>
        </is>
      </c>
    </row>
    <row r="65" outlineLevel="2" ht="24" customHeight="1">
      <c r="A65" s="9" t="inlineStr">
        <is>
          <t>4.6.4</t>
        </is>
      </c>
      <c r="B65" s="9" t="inlineStr">
        <is>
          <t>작업</t>
        </is>
      </c>
      <c r="C65" s="21" t="inlineStr">
        <is>
          <t>계획 수정 후 재검증</t>
        </is>
      </c>
      <c r="D65" s="9" t="inlineStr">
        <is>
          <t>구현</t>
        </is>
      </c>
      <c r="E65" s="9" t="inlineStr">
        <is>
          <t>통제 (S5–S6)</t>
        </is>
      </c>
      <c r="F65" s="11" t="n">
        <v>0.5</v>
      </c>
      <c r="G65" s="9" t="n">
        <v>11</v>
      </c>
      <c r="H65" s="9" t="n">
        <v>11</v>
      </c>
      <c r="I65" s="12">
        <f>표지!$C$15+7*(G65-1)</f>
        <v/>
      </c>
      <c r="J65" s="12">
        <f>표지!$C$15+7*(H65-1)+6</f>
        <v/>
      </c>
      <c r="K65" s="9" t="inlineStr">
        <is>
          <t>기경현</t>
        </is>
      </c>
      <c r="L65" s="13" t="inlineStr">
        <is>
          <t>4.3.3, 4.6.1</t>
        </is>
      </c>
      <c r="M65" s="13" t="inlineStr">
        <is>
          <t>계획 통제</t>
        </is>
      </c>
      <c r="N65" s="9" t="inlineStr">
        <is>
          <t>US-CTL-02</t>
        </is>
      </c>
      <c r="O65" s="9" t="inlineStr">
        <is>
          <t>대기</t>
        </is>
      </c>
      <c r="P65" s="14" t="n">
        <v>0</v>
      </c>
      <c r="Q65" s="11">
        <f>IF(OR($O65="제외",$O65="보류"),0,$F65*$P65)</f>
        <v/>
      </c>
      <c r="R65" s="13" t="inlineStr">
        <is>
          <t>재추정 1.0→0.5. 시연 Must</t>
        </is>
      </c>
    </row>
    <row r="66" outlineLevel="2" ht="24" customHeight="1">
      <c r="A66" s="9" t="inlineStr">
        <is>
          <t>4.6.5</t>
        </is>
      </c>
      <c r="B66" s="9" t="inlineStr">
        <is>
          <t>작업</t>
        </is>
      </c>
      <c r="C66" s="21" t="inlineStr">
        <is>
          <t>현장 통제 요청 기록(실전송 없음)</t>
        </is>
      </c>
      <c r="D66" s="9" t="inlineStr">
        <is>
          <t>구현</t>
        </is>
      </c>
      <c r="E66" s="9" t="inlineStr">
        <is>
          <t>통제 (S5–S6)</t>
        </is>
      </c>
      <c r="F66" s="11" t="n">
        <v>1</v>
      </c>
      <c r="G66" s="9" t="n">
        <v>11</v>
      </c>
      <c r="H66" s="9" t="n">
        <v>11</v>
      </c>
      <c r="I66" s="12">
        <f>표지!$C$15+7*(G66-1)</f>
        <v/>
      </c>
      <c r="J66" s="12">
        <f>표지!$C$15+7*(H66-1)+6</f>
        <v/>
      </c>
      <c r="K66" s="9" t="inlineStr">
        <is>
          <t>공동</t>
        </is>
      </c>
      <c r="L66" s="13" t="inlineStr">
        <is>
          <t>4.6.1</t>
        </is>
      </c>
      <c r="M66" s="13" t="inlineStr">
        <is>
          <t>요청 이력</t>
        </is>
      </c>
      <c r="N66" s="9" t="inlineStr">
        <is>
          <t>US-CTL-03</t>
        </is>
      </c>
      <c r="O66" s="9" t="inlineStr">
        <is>
          <t>대기</t>
        </is>
      </c>
      <c r="P66" s="14" t="n">
        <v>0</v>
      </c>
      <c r="Q66" s="11">
        <f>IF(OR($O66="제외",$O66="보류"),0,$F66*$P66)</f>
        <v/>
      </c>
      <c r="R66" s="13" t="inlineStr">
        <is>
          <t>BE 병목 완화로 공동. 시연 Must</t>
        </is>
      </c>
    </row>
    <row r="67" outlineLevel="2" ht="24" customHeight="1">
      <c r="A67" s="9" t="inlineStr">
        <is>
          <t>4.6.6</t>
        </is>
      </c>
      <c r="B67" s="9" t="inlineStr">
        <is>
          <t>작업</t>
        </is>
      </c>
      <c r="C67" s="21" t="inlineStr">
        <is>
          <t>감시 제외(유지보수)</t>
        </is>
      </c>
      <c r="D67" s="9" t="inlineStr">
        <is>
          <t>구현</t>
        </is>
      </c>
      <c r="E67" s="9" t="inlineStr">
        <is>
          <t>통제 (S5–S6)</t>
        </is>
      </c>
      <c r="F67" s="11" t="n">
        <v>0.5</v>
      </c>
      <c r="G67" s="9" t="n">
        <v>11</v>
      </c>
      <c r="H67" s="9" t="n">
        <v>12</v>
      </c>
      <c r="I67" s="12">
        <f>표지!$C$15+7*(G67-1)</f>
        <v/>
      </c>
      <c r="J67" s="12">
        <f>표지!$C$15+7*(H67-1)+6</f>
        <v/>
      </c>
      <c r="K67" s="9" t="inlineStr">
        <is>
          <t>기경현</t>
        </is>
      </c>
      <c r="L67" s="13" t="inlineStr">
        <is>
          <t>4.6.1</t>
        </is>
      </c>
      <c r="M67" s="13" t="inlineStr">
        <is>
          <t>제외 설정</t>
        </is>
      </c>
      <c r="N67" s="9" t="inlineStr">
        <is>
          <t>US-CTL-04</t>
        </is>
      </c>
      <c r="O67" s="9" t="inlineStr">
        <is>
          <t>보류</t>
        </is>
      </c>
      <c r="P67" s="14" t="n">
        <v>0</v>
      </c>
      <c r="Q67" s="11">
        <f>IF(OR($O67="제외",$O67="보류"),0,$F67*$P67)</f>
        <v/>
      </c>
      <c r="R67" s="13" t="inlineStr">
        <is>
          <t>Should. 계획 밖</t>
        </is>
      </c>
    </row>
    <row r="68" outlineLevel="1" ht="20" customHeight="1">
      <c r="A68" s="15" t="inlineStr">
        <is>
          <t>4.7</t>
        </is>
      </c>
      <c r="B68" s="15" t="inlineStr">
        <is>
          <t>활동</t>
        </is>
      </c>
      <c r="C68" s="16" t="inlineStr">
        <is>
          <t>통계 (S5–S6)</t>
        </is>
      </c>
      <c r="D68" s="15" t="inlineStr">
        <is>
          <t>구현</t>
        </is>
      </c>
      <c r="E68" s="15" t="inlineStr">
        <is>
          <t>통계 (S5–S6)</t>
        </is>
      </c>
      <c r="F68" s="17">
        <f>SUMIFS($F$5:$F$90,$B$5:$B$90,"작업",$E$5:$E$90,$E68,$O$5:$O$90,"&lt;&gt;제외",$O$5:$O$90,"&lt;&gt;보류")</f>
        <v/>
      </c>
      <c r="G68" s="15">
        <f>MIN(G69:G71)</f>
        <v/>
      </c>
      <c r="H68" s="15">
        <f>MAX(H69:H71)</f>
        <v/>
      </c>
      <c r="I68" s="18">
        <f>표지!$C$15+7*(G68-1)</f>
        <v/>
      </c>
      <c r="J68" s="18">
        <f>표지!$C$15+7*(H68-1)+6</f>
        <v/>
      </c>
      <c r="K68" s="15" t="inlineStr"/>
      <c r="L68" s="19" t="n"/>
      <c r="M68" s="19" t="n"/>
      <c r="N68" s="15" t="n"/>
      <c r="O68" s="15">
        <f>IF($F68=0,"-",IF($Q68&gt;=$F68,"완료",IF($Q68&gt;0,"진행중","대기")))</f>
        <v/>
      </c>
      <c r="P68" s="20">
        <f>IF($F68=0,0,$Q68/$F68)</f>
        <v/>
      </c>
      <c r="Q68" s="17">
        <f>SUMIFS($Q$5:$Q$90,$B$5:$B$90,"작업",$E$5:$E$90,$E68,$O$5:$O$90,"&lt;&gt;제외",$O$5:$O$90,"&lt;&gt;보류")</f>
        <v/>
      </c>
      <c r="R68" s="19">
        <f>TEXT(COUNTIFS($B$5:$B$90,"작업",$E$5:$E$90,$E68),"0")&amp;"개 작업패키지 합계"</f>
        <v/>
      </c>
    </row>
    <row r="69" outlineLevel="2" ht="24" customHeight="1">
      <c r="A69" s="9" t="inlineStr">
        <is>
          <t>4.7.1</t>
        </is>
      </c>
      <c r="B69" s="9" t="inlineStr">
        <is>
          <t>작업</t>
        </is>
      </c>
      <c r="C69" s="21" t="inlineStr">
        <is>
          <t>시간/일/주/월 집계 배치</t>
        </is>
      </c>
      <c r="D69" s="9" t="inlineStr">
        <is>
          <t>구현</t>
        </is>
      </c>
      <c r="E69" s="9" t="inlineStr">
        <is>
          <t>통계 (S5–S6)</t>
        </is>
      </c>
      <c r="F69" s="11" t="n">
        <v>1</v>
      </c>
      <c r="G69" s="9" t="n">
        <v>10</v>
      </c>
      <c r="H69" s="9" t="n">
        <v>11</v>
      </c>
      <c r="I69" s="12">
        <f>표지!$C$15+7*(G69-1)</f>
        <v/>
      </c>
      <c r="J69" s="12">
        <f>표지!$C$15+7*(H69-1)+6</f>
        <v/>
      </c>
      <c r="K69" s="9" t="inlineStr">
        <is>
          <t>공동</t>
        </is>
      </c>
      <c r="L69" s="13" t="inlineStr">
        <is>
          <t>4.4.6</t>
        </is>
      </c>
      <c r="M69" s="13" t="inlineStr">
        <is>
          <t>집계 테이블</t>
        </is>
      </c>
      <c r="N69" s="9" t="inlineStr">
        <is>
          <t>US-RPT-01</t>
        </is>
      </c>
      <c r="O69" s="9" t="inlineStr">
        <is>
          <t>대기</t>
        </is>
      </c>
      <c r="P69" s="14" t="n">
        <v>0</v>
      </c>
      <c r="Q69" s="11">
        <f>IF(OR($O69="제외",$O69="보류"),0,$F69*$P69)</f>
        <v/>
      </c>
      <c r="R69" s="13" t="inlineStr">
        <is>
          <t>재추정 1.5→1.0. 공동, 2주 분산</t>
        </is>
      </c>
    </row>
    <row r="70" outlineLevel="2" ht="24" customHeight="1">
      <c r="A70" s="9" t="inlineStr">
        <is>
          <t>4.7.2</t>
        </is>
      </c>
      <c r="B70" s="9" t="inlineStr">
        <is>
          <t>작업</t>
        </is>
      </c>
      <c r="C70" s="21" t="inlineStr">
        <is>
          <t>통계 조회 화면</t>
        </is>
      </c>
      <c r="D70" s="9" t="inlineStr">
        <is>
          <t>구현</t>
        </is>
      </c>
      <c r="E70" s="9" t="inlineStr">
        <is>
          <t>통계 (S5–S6)</t>
        </is>
      </c>
      <c r="F70" s="11" t="n">
        <v>0.5</v>
      </c>
      <c r="G70" s="9" t="n">
        <v>11</v>
      </c>
      <c r="H70" s="9" t="n">
        <v>11</v>
      </c>
      <c r="I70" s="12">
        <f>표지!$C$15+7*(G70-1)</f>
        <v/>
      </c>
      <c r="J70" s="12">
        <f>표지!$C$15+7*(H70-1)+6</f>
        <v/>
      </c>
      <c r="K70" s="9" t="inlineStr">
        <is>
          <t>조찬희</t>
        </is>
      </c>
      <c r="L70" s="13" t="inlineStr">
        <is>
          <t>4.7.1</t>
        </is>
      </c>
      <c r="M70" s="13" t="inlineStr">
        <is>
          <t>통계 UI</t>
        </is>
      </c>
      <c r="N70" s="9" t="inlineStr">
        <is>
          <t>US-RPT-01</t>
        </is>
      </c>
      <c r="O70" s="9" t="inlineStr">
        <is>
          <t>대기</t>
        </is>
      </c>
      <c r="P70" s="14" t="n">
        <v>0</v>
      </c>
      <c r="Q70" s="11">
        <f>IF(OR($O70="제외",$O70="보류"),0,$F70*$P70)</f>
        <v/>
      </c>
      <c r="R70" s="13" t="inlineStr">
        <is>
          <t>재추정 1.0→0.5</t>
        </is>
      </c>
    </row>
    <row r="71" outlineLevel="2" ht="24" customHeight="1">
      <c r="A71" s="9" t="inlineStr">
        <is>
          <t>4.7.3</t>
        </is>
      </c>
      <c r="B71" s="9" t="inlineStr">
        <is>
          <t>작업</t>
        </is>
      </c>
      <c r="C71" s="21" t="inlineStr">
        <is>
          <t>CSV 내보내기</t>
        </is>
      </c>
      <c r="D71" s="9" t="inlineStr">
        <is>
          <t>구현</t>
        </is>
      </c>
      <c r="E71" s="9" t="inlineStr">
        <is>
          <t>통계 (S5–S6)</t>
        </is>
      </c>
      <c r="F71" s="11" t="n">
        <v>0.5</v>
      </c>
      <c r="G71" s="9" t="n">
        <v>11</v>
      </c>
      <c r="H71" s="9" t="n">
        <v>11</v>
      </c>
      <c r="I71" s="12">
        <f>표지!$C$15+7*(G71-1)</f>
        <v/>
      </c>
      <c r="J71" s="12">
        <f>표지!$C$15+7*(H71-1)+6</f>
        <v/>
      </c>
      <c r="K71" s="9" t="inlineStr">
        <is>
          <t>조찬희</t>
        </is>
      </c>
      <c r="L71" s="13" t="inlineStr">
        <is>
          <t>4.7.2</t>
        </is>
      </c>
      <c r="M71" s="13" t="inlineStr">
        <is>
          <t>CSV</t>
        </is>
      </c>
      <c r="N71" s="9" t="inlineStr">
        <is>
          <t>US-RPT-02</t>
        </is>
      </c>
      <c r="O71" s="9" t="inlineStr">
        <is>
          <t>대기</t>
        </is>
      </c>
      <c r="P71" s="14" t="n">
        <v>0</v>
      </c>
      <c r="Q71" s="11">
        <f>IF(OR($O71="제외",$O71="보류"),0,$F71*$P71)</f>
        <v/>
      </c>
      <c r="R71" s="13" t="inlineStr">
        <is>
          <t>커트 5순위</t>
        </is>
      </c>
    </row>
    <row r="72" outlineLevel="1" ht="20" customHeight="1">
      <c r="A72" s="15" t="inlineStr">
        <is>
          <t>4.8</t>
        </is>
      </c>
      <c r="B72" s="15" t="inlineStr">
        <is>
          <t>활동</t>
        </is>
      </c>
      <c r="C72" s="16" t="inlineStr">
        <is>
          <t>계정·설정 (S2, S4–S5)</t>
        </is>
      </c>
      <c r="D72" s="15" t="inlineStr">
        <is>
          <t>구현</t>
        </is>
      </c>
      <c r="E72" s="15" t="inlineStr">
        <is>
          <t>계정·설정 (S2, S4–S5)</t>
        </is>
      </c>
      <c r="F72" s="17">
        <f>SUMIFS($F$5:$F$90,$B$5:$B$90,"작업",$E$5:$E$90,$E72,$O$5:$O$90,"&lt;&gt;제외",$O$5:$O$90,"&lt;&gt;보류")</f>
        <v/>
      </c>
      <c r="G72" s="15">
        <f>MIN(G73:G75)</f>
        <v/>
      </c>
      <c r="H72" s="15">
        <f>MAX(H73:H75)</f>
        <v/>
      </c>
      <c r="I72" s="18">
        <f>표지!$C$15+7*(G72-1)</f>
        <v/>
      </c>
      <c r="J72" s="18">
        <f>표지!$C$15+7*(H72-1)+6</f>
        <v/>
      </c>
      <c r="K72" s="15" t="inlineStr"/>
      <c r="L72" s="19" t="n"/>
      <c r="M72" s="19" t="n"/>
      <c r="N72" s="15" t="n"/>
      <c r="O72" s="15">
        <f>IF($F72=0,"-",IF($Q72&gt;=$F72,"완료",IF($Q72&gt;0,"진행중","대기")))</f>
        <v/>
      </c>
      <c r="P72" s="20">
        <f>IF($F72=0,0,$Q72/$F72)</f>
        <v/>
      </c>
      <c r="Q72" s="17">
        <f>SUMIFS($Q$5:$Q$90,$B$5:$B$90,"작업",$E$5:$E$90,$E72,$O$5:$O$90,"&lt;&gt;제외",$O$5:$O$90,"&lt;&gt;보류")</f>
        <v/>
      </c>
      <c r="R72" s="19">
        <f>TEXT(COUNTIFS($B$5:$B$90,"작업",$E$5:$E$90,$E72),"0")&amp;"개 작업패키지 합계"</f>
        <v/>
      </c>
    </row>
    <row r="73" outlineLevel="2" ht="24" customHeight="1">
      <c r="A73" s="9" t="inlineStr">
        <is>
          <t>4.8.1</t>
        </is>
      </c>
      <c r="B73" s="9" t="inlineStr">
        <is>
          <t>작업</t>
        </is>
      </c>
      <c r="C73" s="21" t="inlineStr">
        <is>
          <t>계정 CRUD 화면</t>
        </is>
      </c>
      <c r="D73" s="9" t="inlineStr">
        <is>
          <t>구현</t>
        </is>
      </c>
      <c r="E73" s="9" t="inlineStr">
        <is>
          <t>계정·설정 (S2, S4–S5)</t>
        </is>
      </c>
      <c r="F73" s="11" t="n">
        <v>0.5</v>
      </c>
      <c r="G73" s="9" t="n">
        <v>10</v>
      </c>
      <c r="H73" s="9" t="n">
        <v>10</v>
      </c>
      <c r="I73" s="12">
        <f>표지!$C$15+7*(G73-1)</f>
        <v/>
      </c>
      <c r="J73" s="12">
        <f>표지!$C$15+7*(H73-1)+6</f>
        <v/>
      </c>
      <c r="K73" s="9" t="inlineStr">
        <is>
          <t>조찬희</t>
        </is>
      </c>
      <c r="L73" s="13" t="inlineStr">
        <is>
          <t>4.1.6</t>
        </is>
      </c>
      <c r="M73" s="13" t="inlineStr">
        <is>
          <t>계정 관리</t>
        </is>
      </c>
      <c r="N73" s="9" t="inlineStr">
        <is>
          <t>US-ADM-02</t>
        </is>
      </c>
      <c r="O73" s="9" t="inlineStr">
        <is>
          <t>대기</t>
        </is>
      </c>
      <c r="P73" s="14" t="n">
        <v>0</v>
      </c>
      <c r="Q73" s="11">
        <f>IF(OR($O73="제외",$O73="보류"),0,$F73*$P73)</f>
        <v/>
      </c>
      <c r="R73" s="13" t="inlineStr">
        <is>
          <t>S6→S5 선행. 커트 4순위</t>
        </is>
      </c>
    </row>
    <row r="74" outlineLevel="2" ht="24" customHeight="1">
      <c r="A74" s="9" t="inlineStr">
        <is>
          <t>4.8.2</t>
        </is>
      </c>
      <c r="B74" s="9" t="inlineStr">
        <is>
          <t>작업</t>
        </is>
      </c>
      <c r="C74" s="21" t="inlineStr">
        <is>
          <t>검증 임계값 설정 화면</t>
        </is>
      </c>
      <c r="D74" s="9" t="inlineStr">
        <is>
          <t>구현</t>
        </is>
      </c>
      <c r="E74" s="9" t="inlineStr">
        <is>
          <t>계정·설정 (S2, S4–S5)</t>
        </is>
      </c>
      <c r="F74" s="11" t="n">
        <v>0.5</v>
      </c>
      <c r="G74" s="9" t="n">
        <v>9</v>
      </c>
      <c r="H74" s="9" t="n">
        <v>9</v>
      </c>
      <c r="I74" s="12">
        <f>표지!$C$15+7*(G74-1)</f>
        <v/>
      </c>
      <c r="J74" s="12">
        <f>표지!$C$15+7*(H74-1)+6</f>
        <v/>
      </c>
      <c r="K74" s="9" t="inlineStr">
        <is>
          <t>조찬희</t>
        </is>
      </c>
      <c r="L74" s="13" t="inlineStr">
        <is>
          <t>4.4.1</t>
        </is>
      </c>
      <c r="M74" s="13" t="inlineStr">
        <is>
          <t>규칙 설정</t>
        </is>
      </c>
      <c r="N74" s="9" t="inlineStr">
        <is>
          <t>US-ADM-04</t>
        </is>
      </c>
      <c r="O74" s="9" t="inlineStr">
        <is>
          <t>대기</t>
        </is>
      </c>
      <c r="P74" s="14" t="n">
        <v>0</v>
      </c>
      <c r="Q74" s="11">
        <f>IF(OR($O74="제외",$O74="보류"),0,$F74*$P74)</f>
        <v/>
      </c>
      <c r="R74" s="13" t="inlineStr">
        <is>
          <t>S6→S4 선행</t>
        </is>
      </c>
    </row>
    <row r="75" outlineLevel="2" ht="24" customHeight="1">
      <c r="A75" s="9" t="inlineStr">
        <is>
          <t>4.8.3</t>
        </is>
      </c>
      <c r="B75" s="9" t="inlineStr">
        <is>
          <t>작업</t>
        </is>
      </c>
      <c r="C75" s="21" t="inlineStr">
        <is>
          <t>쿼터 사용량 표시</t>
        </is>
      </c>
      <c r="D75" s="9" t="inlineStr">
        <is>
          <t>구현</t>
        </is>
      </c>
      <c r="E75" s="9" t="inlineStr">
        <is>
          <t>계정·설정 (S2, S4–S5)</t>
        </is>
      </c>
      <c r="F75" s="11" t="n">
        <v>0.5</v>
      </c>
      <c r="G75" s="9" t="n">
        <v>7</v>
      </c>
      <c r="H75" s="9" t="n">
        <v>7</v>
      </c>
      <c r="I75" s="12">
        <f>표지!$C$15+7*(G75-1)</f>
        <v/>
      </c>
      <c r="J75" s="12">
        <f>표지!$C$15+7*(H75-1)+6</f>
        <v/>
      </c>
      <c r="K75" s="9" t="inlineStr">
        <is>
          <t>조찬희</t>
        </is>
      </c>
      <c r="L75" s="13" t="inlineStr">
        <is>
          <t>4.2.4</t>
        </is>
      </c>
      <c r="M75" s="13" t="inlineStr">
        <is>
          <t>설정 화면 숫자</t>
        </is>
      </c>
      <c r="N75" s="9" t="inlineStr">
        <is>
          <t>US-COL-05</t>
        </is>
      </c>
      <c r="O75" s="9" t="inlineStr">
        <is>
          <t>대기</t>
        </is>
      </c>
      <c r="P75" s="14" t="n">
        <v>0</v>
      </c>
      <c r="Q75" s="11">
        <f>IF(OR($O75="제외",$O75="보류"),0,$F75*$P75)</f>
        <v/>
      </c>
      <c r="R75" s="13" t="inlineStr"/>
    </row>
    <row r="76" ht="20" customHeight="1">
      <c r="A76" s="4" t="inlineStr">
        <is>
          <t>5</t>
        </is>
      </c>
      <c r="B76" s="4" t="inlineStr">
        <is>
          <t>단계</t>
        </is>
      </c>
      <c r="C76" s="5" t="inlineStr">
        <is>
          <t>테스트</t>
        </is>
      </c>
      <c r="D76" s="4" t="inlineStr">
        <is>
          <t>테스트</t>
        </is>
      </c>
      <c r="E76" s="4" t="inlineStr"/>
      <c r="F76" s="6">
        <f>SUMIFS($F$5:$F$90,$B$5:$B$90,"작업",$D$5:$D$90,$D76,$O$5:$O$90,"&lt;&gt;제외",$O$5:$O$90,"&lt;&gt;보류")</f>
        <v/>
      </c>
      <c r="G76" s="4">
        <f>MIN(G77:G83)</f>
        <v/>
      </c>
      <c r="H76" s="4">
        <f>MAX(H77:H83)</f>
        <v/>
      </c>
      <c r="I76" s="7">
        <f>표지!$C$15+7*(G76-1)</f>
        <v/>
      </c>
      <c r="J76" s="7">
        <f>표지!$C$15+7*(H76-1)+6</f>
        <v/>
      </c>
      <c r="K76" s="4" t="inlineStr">
        <is>
          <t>공동</t>
        </is>
      </c>
      <c r="L76" s="5" t="n"/>
      <c r="M76" s="5" t="n"/>
      <c r="N76" s="4" t="n"/>
      <c r="O76" s="4">
        <f>IF($F76=0,"-",IF($Q76&gt;=$F76,"완료",IF($Q76&gt;0,"진행중","대기")))</f>
        <v/>
      </c>
      <c r="P76" s="8">
        <f>IF($F76=0,0,$Q76/$F76)</f>
        <v/>
      </c>
      <c r="Q76" s="6">
        <f>SUMIFS($Q$5:$Q$90,$B$5:$B$90,"작업",$D$5:$D$90,$D76,$O$5:$O$90,"&lt;&gt;제외",$O$5:$O$90,"&lt;&gt;보류")</f>
        <v/>
      </c>
      <c r="R76" s="5">
        <f>TEXT(COUNTIFS($B$5:$B$90,"작업",$D$5:$D$90,$D76),"0")&amp;"개 작업패키지 합계"</f>
        <v/>
      </c>
    </row>
    <row r="77" outlineLevel="1" ht="24" customHeight="1">
      <c r="A77" s="9" t="inlineStr">
        <is>
          <t>5.1</t>
        </is>
      </c>
      <c r="B77" s="9" t="inlineStr">
        <is>
          <t>작업</t>
        </is>
      </c>
      <c r="C77" s="10" t="inlineStr">
        <is>
          <t>테스트 계획·케이스 작성(UC/US/FR 헤더)</t>
        </is>
      </c>
      <c r="D77" s="9" t="inlineStr">
        <is>
          <t>테스트</t>
        </is>
      </c>
      <c r="E77" s="9" t="inlineStr"/>
      <c r="F77" s="11" t="n">
        <v>1</v>
      </c>
      <c r="G77" s="9" t="n">
        <v>12</v>
      </c>
      <c r="H77" s="9" t="n">
        <v>12</v>
      </c>
      <c r="I77" s="12">
        <f>표지!$C$15+7*(G77-1)</f>
        <v/>
      </c>
      <c r="J77" s="12">
        <f>표지!$C$15+7*(H77-1)+6</f>
        <v/>
      </c>
      <c r="K77" s="9" t="inlineStr">
        <is>
          <t>조찬희</t>
        </is>
      </c>
      <c r="L77" s="13" t="inlineStr">
        <is>
          <t>4.6.3</t>
        </is>
      </c>
      <c r="M77" s="13" t="inlineStr">
        <is>
          <t>테스트 계획서</t>
        </is>
      </c>
      <c r="N77" s="9" t="inlineStr"/>
      <c r="O77" s="9" t="inlineStr">
        <is>
          <t>대기</t>
        </is>
      </c>
      <c r="P77" s="14" t="n">
        <v>0</v>
      </c>
      <c r="Q77" s="11">
        <f>IF(OR($O77="제외",$O77="보류"),0,$F77*$P77)</f>
        <v/>
      </c>
      <c r="R77" s="13" t="inlineStr">
        <is>
          <t>재추정 1.5→1.0</t>
        </is>
      </c>
    </row>
    <row r="78" outlineLevel="1" ht="24" customHeight="1">
      <c r="A78" s="9" t="inlineStr">
        <is>
          <t>5.2</t>
        </is>
      </c>
      <c r="B78" s="9" t="inlineStr">
        <is>
          <t>작업</t>
        </is>
      </c>
      <c r="C78" s="10" t="inlineStr">
        <is>
          <t>규칙 단위·경계값 시험</t>
        </is>
      </c>
      <c r="D78" s="9" t="inlineStr">
        <is>
          <t>테스트</t>
        </is>
      </c>
      <c r="E78" s="9" t="inlineStr"/>
      <c r="F78" s="11" t="n">
        <v>1.5</v>
      </c>
      <c r="G78" s="9" t="n">
        <v>12</v>
      </c>
      <c r="H78" s="9" t="n">
        <v>13</v>
      </c>
      <c r="I78" s="12">
        <f>표지!$C$15+7*(G78-1)</f>
        <v/>
      </c>
      <c r="J78" s="12">
        <f>표지!$C$15+7*(H78-1)+6</f>
        <v/>
      </c>
      <c r="K78" s="9" t="inlineStr">
        <is>
          <t>기경현</t>
        </is>
      </c>
      <c r="L78" s="13" t="inlineStr">
        <is>
          <t>4.4.7</t>
        </is>
      </c>
      <c r="M78" s="13" t="inlineStr">
        <is>
          <t>규칙 결과</t>
        </is>
      </c>
      <c r="N78" s="9" t="inlineStr">
        <is>
          <t>R01–R12</t>
        </is>
      </c>
      <c r="O78" s="9" t="inlineStr">
        <is>
          <t>대기</t>
        </is>
      </c>
      <c r="P78" s="14" t="n">
        <v>0</v>
      </c>
      <c r="Q78" s="11">
        <f>IF(OR($O78="제외",$O78="보류"),0,$F78*$P78)</f>
        <v/>
      </c>
      <c r="R78" s="13" t="inlineStr">
        <is>
          <t>2주 분산. R06 0건 포함</t>
        </is>
      </c>
    </row>
    <row r="79" outlineLevel="1" ht="24" customHeight="1">
      <c r="A79" s="9" t="inlineStr">
        <is>
          <t>5.3</t>
        </is>
      </c>
      <c r="B79" s="9" t="inlineStr">
        <is>
          <t>작업</t>
        </is>
      </c>
      <c r="C79" s="10" t="inlineStr">
        <is>
          <t>API·권한(403)·원본 불변 시험</t>
        </is>
      </c>
      <c r="D79" s="9" t="inlineStr">
        <is>
          <t>테스트</t>
        </is>
      </c>
      <c r="E79" s="9" t="inlineStr"/>
      <c r="F79" s="11" t="n">
        <v>1</v>
      </c>
      <c r="G79" s="9" t="n">
        <v>12</v>
      </c>
      <c r="H79" s="9" t="n">
        <v>12</v>
      </c>
      <c r="I79" s="12">
        <f>표지!$C$15+7*(G79-1)</f>
        <v/>
      </c>
      <c r="J79" s="12">
        <f>표지!$C$15+7*(H79-1)+6</f>
        <v/>
      </c>
      <c r="K79" s="9" t="inlineStr">
        <is>
          <t>기경현</t>
        </is>
      </c>
      <c r="L79" s="13" t="inlineStr">
        <is>
          <t>4.6.3</t>
        </is>
      </c>
      <c r="M79" s="13" t="inlineStr">
        <is>
          <t>API 결과</t>
        </is>
      </c>
      <c r="N79" s="9" t="inlineStr">
        <is>
          <t>NFR-SEC</t>
        </is>
      </c>
      <c r="O79" s="9" t="inlineStr">
        <is>
          <t>대기</t>
        </is>
      </c>
      <c r="P79" s="14" t="n">
        <v>0</v>
      </c>
      <c r="Q79" s="11">
        <f>IF(OR($O79="제외",$O79="보류"),0,$F79*$P79)</f>
        <v/>
      </c>
      <c r="R79" s="13" t="inlineStr">
        <is>
          <t>재추정 1.5→1.0</t>
        </is>
      </c>
    </row>
    <row r="80" outlineLevel="1" ht="24" customHeight="1">
      <c r="A80" s="9" t="inlineStr">
        <is>
          <t>5.4</t>
        </is>
      </c>
      <c r="B80" s="9" t="inlineStr">
        <is>
          <t>작업</t>
        </is>
      </c>
      <c r="C80" s="10" t="inlineStr">
        <is>
          <t>E2E 시나리오 시험(5.1~5.4)</t>
        </is>
      </c>
      <c r="D80" s="9" t="inlineStr">
        <is>
          <t>테스트</t>
        </is>
      </c>
      <c r="E80" s="9" t="inlineStr"/>
      <c r="F80" s="11" t="n">
        <v>1.5</v>
      </c>
      <c r="G80" s="9" t="n">
        <v>12</v>
      </c>
      <c r="H80" s="9" t="n">
        <v>13</v>
      </c>
      <c r="I80" s="12">
        <f>표지!$C$15+7*(G80-1)</f>
        <v/>
      </c>
      <c r="J80" s="12">
        <f>표지!$C$15+7*(H80-1)+6</f>
        <v/>
      </c>
      <c r="K80" s="9" t="inlineStr">
        <is>
          <t>조찬희</t>
        </is>
      </c>
      <c r="L80" s="13" t="inlineStr">
        <is>
          <t>5.1</t>
        </is>
      </c>
      <c r="M80" s="13" t="inlineStr">
        <is>
          <t>E2E 결과</t>
        </is>
      </c>
      <c r="N80" s="9" t="inlineStr">
        <is>
          <t>UC01–UC10</t>
        </is>
      </c>
      <c r="O80" s="9" t="inlineStr">
        <is>
          <t>대기</t>
        </is>
      </c>
      <c r="P80" s="14" t="n">
        <v>0</v>
      </c>
      <c r="Q80" s="11">
        <f>IF(OR($O80="제외",$O80="보류"),0,$F80*$P80)</f>
        <v/>
      </c>
      <c r="R80" s="13" t="inlineStr">
        <is>
          <t>2주 분산</t>
        </is>
      </c>
    </row>
    <row r="81" outlineLevel="1" ht="24" customHeight="1">
      <c r="A81" s="9" t="inlineStr">
        <is>
          <t>5.5</t>
        </is>
      </c>
      <c r="B81" s="9" t="inlineStr">
        <is>
          <t>작업</t>
        </is>
      </c>
      <c r="C81" s="10" t="inlineStr">
        <is>
          <t>성능 3초 시험(대시보드·목록·상세·통계)</t>
        </is>
      </c>
      <c r="D81" s="9" t="inlineStr">
        <is>
          <t>테스트</t>
        </is>
      </c>
      <c r="E81" s="9" t="inlineStr"/>
      <c r="F81" s="11" t="n">
        <v>0.5</v>
      </c>
      <c r="G81" s="9" t="n">
        <v>13</v>
      </c>
      <c r="H81" s="9" t="n">
        <v>13</v>
      </c>
      <c r="I81" s="12">
        <f>표지!$C$15+7*(G81-1)</f>
        <v/>
      </c>
      <c r="J81" s="12">
        <f>표지!$C$15+7*(H81-1)+6</f>
        <v/>
      </c>
      <c r="K81" s="9" t="inlineStr">
        <is>
          <t>공동</t>
        </is>
      </c>
      <c r="L81" s="13" t="inlineStr">
        <is>
          <t>4.5.1</t>
        </is>
      </c>
      <c r="M81" s="13" t="inlineStr">
        <is>
          <t>성능 결과</t>
        </is>
      </c>
      <c r="N81" s="9" t="inlineStr">
        <is>
          <t>NFR-PER-001</t>
        </is>
      </c>
      <c r="O81" s="9" t="inlineStr">
        <is>
          <t>대기</t>
        </is>
      </c>
      <c r="P81" s="14" t="n">
        <v>0</v>
      </c>
      <c r="Q81" s="11">
        <f>IF(OR($O81="제외",$O81="보류"),0,$F81*$P81)</f>
        <v/>
      </c>
      <c r="R81" s="13" t="inlineStr"/>
    </row>
    <row r="82" outlineLevel="1" ht="24" customHeight="1">
      <c r="A82" s="9" t="inlineStr">
        <is>
          <t>5.6</t>
        </is>
      </c>
      <c r="B82" s="9" t="inlineStr">
        <is>
          <t>작업</t>
        </is>
      </c>
      <c r="C82" s="10" t="inlineStr">
        <is>
          <t>보안 점검표(해시·시크릿·입력)</t>
        </is>
      </c>
      <c r="D82" s="9" t="inlineStr">
        <is>
          <t>테스트</t>
        </is>
      </c>
      <c r="E82" s="9" t="inlineStr"/>
      <c r="F82" s="11" t="n">
        <v>0.5</v>
      </c>
      <c r="G82" s="9" t="n">
        <v>13</v>
      </c>
      <c r="H82" s="9" t="n">
        <v>13</v>
      </c>
      <c r="I82" s="12">
        <f>표지!$C$15+7*(G82-1)</f>
        <v/>
      </c>
      <c r="J82" s="12">
        <f>표지!$C$15+7*(H82-1)+6</f>
        <v/>
      </c>
      <c r="K82" s="9" t="inlineStr">
        <is>
          <t>기경현</t>
        </is>
      </c>
      <c r="L82" s="13" t="inlineStr">
        <is>
          <t>4.1.3</t>
        </is>
      </c>
      <c r="M82" s="13" t="inlineStr">
        <is>
          <t>점검표</t>
        </is>
      </c>
      <c r="N82" s="9" t="inlineStr">
        <is>
          <t>NFR-SEC</t>
        </is>
      </c>
      <c r="O82" s="9" t="inlineStr">
        <is>
          <t>대기</t>
        </is>
      </c>
      <c r="P82" s="14" t="n">
        <v>0</v>
      </c>
      <c r="Q82" s="11">
        <f>IF(OR($O82="제외",$O82="보류"),0,$F82*$P82)</f>
        <v/>
      </c>
      <c r="R82" s="13" t="inlineStr"/>
    </row>
    <row r="83" outlineLevel="1" ht="24" customHeight="1">
      <c r="A83" s="9" t="inlineStr">
        <is>
          <t>5.7</t>
        </is>
      </c>
      <c r="B83" s="9" t="inlineStr">
        <is>
          <t>작업</t>
        </is>
      </c>
      <c r="C83" s="10" t="inlineStr">
        <is>
          <t>결함 등록·수정·회귀</t>
        </is>
      </c>
      <c r="D83" s="9" t="inlineStr">
        <is>
          <t>테스트</t>
        </is>
      </c>
      <c r="E83" s="9" t="inlineStr"/>
      <c r="F83" s="11" t="n">
        <v>1</v>
      </c>
      <c r="G83" s="9" t="n">
        <v>13</v>
      </c>
      <c r="H83" s="9" t="n">
        <v>13</v>
      </c>
      <c r="I83" s="12">
        <f>표지!$C$15+7*(G83-1)</f>
        <v/>
      </c>
      <c r="J83" s="12">
        <f>표지!$C$15+7*(H83-1)+6</f>
        <v/>
      </c>
      <c r="K83" s="9" t="inlineStr">
        <is>
          <t>공동</t>
        </is>
      </c>
      <c r="L83" s="13" t="inlineStr">
        <is>
          <t>5.2, 5.3, 5.4, 5.5</t>
        </is>
      </c>
      <c r="M83" s="13" t="inlineStr">
        <is>
          <t>결함 목록</t>
        </is>
      </c>
      <c r="N83" s="9" t="inlineStr">
        <is>
          <t>NFR-QUR-003</t>
        </is>
      </c>
      <c r="O83" s="9" t="inlineStr">
        <is>
          <t>대기</t>
        </is>
      </c>
      <c r="P83" s="14" t="n">
        <v>0</v>
      </c>
      <c r="Q83" s="11">
        <f>IF(OR($O83="제외",$O83="보류"),0,$F83*$P83)</f>
        <v/>
      </c>
      <c r="R83" s="13" t="inlineStr">
        <is>
          <t>치명/주요 0</t>
        </is>
      </c>
    </row>
    <row r="84" ht="20" customHeight="1">
      <c r="A84" s="4" t="inlineStr">
        <is>
          <t>6</t>
        </is>
      </c>
      <c r="B84" s="4" t="inlineStr">
        <is>
          <t>단계</t>
        </is>
      </c>
      <c r="C84" s="5" t="inlineStr">
        <is>
          <t>안정화·인도</t>
        </is>
      </c>
      <c r="D84" s="4" t="inlineStr">
        <is>
          <t>안정화·인도</t>
        </is>
      </c>
      <c r="E84" s="4" t="inlineStr"/>
      <c r="F84" s="6">
        <f>SUMIFS($F$5:$F$90,$B$5:$B$90,"작업",$D$5:$D$90,$D84,$O$5:$O$90,"&lt;&gt;제외",$O$5:$O$90,"&lt;&gt;보류")</f>
        <v/>
      </c>
      <c r="G84" s="4">
        <f>MIN(G85:G90)</f>
        <v/>
      </c>
      <c r="H84" s="4">
        <f>MAX(H85:H90)</f>
        <v/>
      </c>
      <c r="I84" s="7">
        <f>표지!$C$15+7*(G84-1)</f>
        <v/>
      </c>
      <c r="J84" s="7">
        <f>표지!$C$15+7*(H84-1)+6</f>
        <v/>
      </c>
      <c r="K84" s="4" t="inlineStr">
        <is>
          <t>공동</t>
        </is>
      </c>
      <c r="L84" s="5" t="n"/>
      <c r="M84" s="5" t="n"/>
      <c r="N84" s="4" t="n"/>
      <c r="O84" s="4">
        <f>IF($F84=0,"-",IF($Q84&gt;=$F84,"완료",IF($Q84&gt;0,"진행중","대기")))</f>
        <v/>
      </c>
      <c r="P84" s="8">
        <f>IF($F84=0,0,$Q84/$F84)</f>
        <v/>
      </c>
      <c r="Q84" s="6">
        <f>SUMIFS($Q$5:$Q$90,$B$5:$B$90,"작업",$D$5:$D$90,$D84,$O$5:$O$90,"&lt;&gt;제외",$O$5:$O$90,"&lt;&gt;보류")</f>
        <v/>
      </c>
      <c r="R84" s="5">
        <f>TEXT(COUNTIFS($B$5:$B$90,"작업",$D$5:$D$90,$D84),"0")&amp;"개 작업패키지 합계"</f>
        <v/>
      </c>
    </row>
    <row r="85" outlineLevel="1" ht="24" customHeight="1">
      <c r="A85" s="9" t="inlineStr">
        <is>
          <t>6.1</t>
        </is>
      </c>
      <c r="B85" s="9" t="inlineStr">
        <is>
          <t>작업</t>
        </is>
      </c>
      <c r="C85" s="10" t="inlineStr">
        <is>
          <t>잔여 결함·Should 여유분 반영</t>
        </is>
      </c>
      <c r="D85" s="9" t="inlineStr">
        <is>
          <t>안정화·인도</t>
        </is>
      </c>
      <c r="E85" s="9" t="inlineStr"/>
      <c r="F85" s="11" t="n">
        <v>1.5</v>
      </c>
      <c r="G85" s="9" t="n">
        <v>14</v>
      </c>
      <c r="H85" s="9" t="n">
        <v>14</v>
      </c>
      <c r="I85" s="12">
        <f>표지!$C$15+7*(G85-1)</f>
        <v/>
      </c>
      <c r="J85" s="12">
        <f>표지!$C$15+7*(H85-1)+6</f>
        <v/>
      </c>
      <c r="K85" s="9" t="inlineStr">
        <is>
          <t>공동</t>
        </is>
      </c>
      <c r="L85" s="13" t="inlineStr">
        <is>
          <t>5.7</t>
        </is>
      </c>
      <c r="M85" s="13" t="inlineStr">
        <is>
          <t>동결 빌드</t>
        </is>
      </c>
      <c r="N85" s="9" t="inlineStr"/>
      <c r="O85" s="9" t="inlineStr">
        <is>
          <t>대기</t>
        </is>
      </c>
      <c r="P85" s="14" t="n">
        <v>0</v>
      </c>
      <c r="Q85" s="11">
        <f>IF(OR($O85="제외",$O85="보류"),0,$F85*$P85)</f>
        <v/>
      </c>
      <c r="R85" s="13" t="inlineStr">
        <is>
          <t>재추정 2.0→1.5. 신규 Must 없음</t>
        </is>
      </c>
    </row>
    <row r="86" outlineLevel="1" ht="24" customHeight="1">
      <c r="A86" s="9" t="inlineStr">
        <is>
          <t>6.2</t>
        </is>
      </c>
      <c r="B86" s="9" t="inlineStr">
        <is>
          <t>작업</t>
        </is>
      </c>
      <c r="C86" s="10" t="inlineStr">
        <is>
          <t>사용자·운영 매뉴얼, 복구 절차</t>
        </is>
      </c>
      <c r="D86" s="9" t="inlineStr">
        <is>
          <t>안정화·인도</t>
        </is>
      </c>
      <c r="E86" s="9" t="inlineStr"/>
      <c r="F86" s="11" t="n">
        <v>1.5</v>
      </c>
      <c r="G86" s="9" t="n">
        <v>14</v>
      </c>
      <c r="H86" s="9" t="n">
        <v>15</v>
      </c>
      <c r="I86" s="12">
        <f>표지!$C$15+7*(G86-1)</f>
        <v/>
      </c>
      <c r="J86" s="12">
        <f>표지!$C$15+7*(H86-1)+6</f>
        <v/>
      </c>
      <c r="K86" s="9" t="inlineStr">
        <is>
          <t>조찬희</t>
        </is>
      </c>
      <c r="L86" s="13" t="inlineStr">
        <is>
          <t>6.1</t>
        </is>
      </c>
      <c r="M86" s="13" t="inlineStr">
        <is>
          <t>매뉴얼</t>
        </is>
      </c>
      <c r="N86" s="9" t="inlineStr"/>
      <c r="O86" s="9" t="inlineStr">
        <is>
          <t>대기</t>
        </is>
      </c>
      <c r="P86" s="14" t="n">
        <v>0</v>
      </c>
      <c r="Q86" s="11">
        <f>IF(OR($O86="제외",$O86="보류"),0,$F86*$P86)</f>
        <v/>
      </c>
      <c r="R86" s="13" t="inlineStr">
        <is>
          <t>2주 분산</t>
        </is>
      </c>
    </row>
    <row r="87" outlineLevel="1" ht="24" customHeight="1">
      <c r="A87" s="9" t="inlineStr">
        <is>
          <t>6.3</t>
        </is>
      </c>
      <c r="B87" s="9" t="inlineStr">
        <is>
          <t>작업</t>
        </is>
      </c>
      <c r="C87" s="10" t="inlineStr">
        <is>
          <t>설치 가이드(시드·키·기동)</t>
        </is>
      </c>
      <c r="D87" s="9" t="inlineStr">
        <is>
          <t>안정화·인도</t>
        </is>
      </c>
      <c r="E87" s="9" t="inlineStr"/>
      <c r="F87" s="11" t="n">
        <v>1</v>
      </c>
      <c r="G87" s="9" t="n">
        <v>14</v>
      </c>
      <c r="H87" s="9" t="n">
        <v>14</v>
      </c>
      <c r="I87" s="12">
        <f>표지!$C$15+7*(G87-1)</f>
        <v/>
      </c>
      <c r="J87" s="12">
        <f>표지!$C$15+7*(H87-1)+6</f>
        <v/>
      </c>
      <c r="K87" s="9" t="inlineStr">
        <is>
          <t>기경현</t>
        </is>
      </c>
      <c r="L87" s="13" t="inlineStr">
        <is>
          <t>6.1</t>
        </is>
      </c>
      <c r="M87" s="13" t="inlineStr">
        <is>
          <t>설치 가이드</t>
        </is>
      </c>
      <c r="N87" s="9" t="inlineStr"/>
      <c r="O87" s="9" t="inlineStr">
        <is>
          <t>대기</t>
        </is>
      </c>
      <c r="P87" s="14" t="n">
        <v>0</v>
      </c>
      <c r="Q87" s="11">
        <f>IF(OR($O87="제외",$O87="보류"),0,$F87*$P87)</f>
        <v/>
      </c>
      <c r="R87" s="13" t="inlineStr"/>
    </row>
    <row r="88" outlineLevel="1" ht="24" customHeight="1">
      <c r="A88" s="9" t="inlineStr">
        <is>
          <t>6.4</t>
        </is>
      </c>
      <c r="B88" s="9" t="inlineStr">
        <is>
          <t>작업</t>
        </is>
      </c>
      <c r="C88" s="10" t="inlineStr">
        <is>
          <t>시연 스크립트 작성(5.1~5.4)</t>
        </is>
      </c>
      <c r="D88" s="9" t="inlineStr">
        <is>
          <t>안정화·인도</t>
        </is>
      </c>
      <c r="E88" s="9" t="inlineStr"/>
      <c r="F88" s="11" t="n">
        <v>1</v>
      </c>
      <c r="G88" s="9" t="n">
        <v>15</v>
      </c>
      <c r="H88" s="9" t="n">
        <v>15</v>
      </c>
      <c r="I88" s="12">
        <f>표지!$C$15+7*(G88-1)</f>
        <v/>
      </c>
      <c r="J88" s="12">
        <f>표지!$C$15+7*(H88-1)+6</f>
        <v/>
      </c>
      <c r="K88" s="9" t="inlineStr">
        <is>
          <t>조찬희</t>
        </is>
      </c>
      <c r="L88" s="13" t="inlineStr">
        <is>
          <t>6.2</t>
        </is>
      </c>
      <c r="M88" s="13" t="inlineStr">
        <is>
          <t>시연 대본</t>
        </is>
      </c>
      <c r="N88" s="9" t="inlineStr"/>
      <c r="O88" s="9" t="inlineStr">
        <is>
          <t>대기</t>
        </is>
      </c>
      <c r="P88" s="14" t="n">
        <v>0</v>
      </c>
      <c r="Q88" s="11">
        <f>IF(OR($O88="제외",$O88="보류"),0,$F88*$P88)</f>
        <v/>
      </c>
      <c r="R88" s="13" t="inlineStr"/>
    </row>
    <row r="89" outlineLevel="1" ht="24" customHeight="1">
      <c r="A89" s="9" t="inlineStr">
        <is>
          <t>6.5</t>
        </is>
      </c>
      <c r="B89" s="9" t="inlineStr">
        <is>
          <t>작업</t>
        </is>
      </c>
      <c r="C89" s="10" t="inlineStr">
        <is>
          <t>완료 보고·발표 자료</t>
        </is>
      </c>
      <c r="D89" s="9" t="inlineStr">
        <is>
          <t>안정화·인도</t>
        </is>
      </c>
      <c r="E89" s="9" t="inlineStr"/>
      <c r="F89" s="11" t="n">
        <v>1</v>
      </c>
      <c r="G89" s="9" t="n">
        <v>15</v>
      </c>
      <c r="H89" s="9" t="n">
        <v>15</v>
      </c>
      <c r="I89" s="12">
        <f>표지!$C$15+7*(G89-1)</f>
        <v/>
      </c>
      <c r="J89" s="12">
        <f>표지!$C$15+7*(H89-1)+6</f>
        <v/>
      </c>
      <c r="K89" s="9" t="inlineStr">
        <is>
          <t>조찬희</t>
        </is>
      </c>
      <c r="L89" s="13" t="inlineStr">
        <is>
          <t>6.4</t>
        </is>
      </c>
      <c r="M89" s="13" t="inlineStr">
        <is>
          <t>발표 자료</t>
        </is>
      </c>
      <c r="N89" s="9" t="inlineStr"/>
      <c r="O89" s="9" t="inlineStr">
        <is>
          <t>대기</t>
        </is>
      </c>
      <c r="P89" s="14" t="n">
        <v>0</v>
      </c>
      <c r="Q89" s="11">
        <f>IF(OR($O89="제외",$O89="보류"),0,$F89*$P89)</f>
        <v/>
      </c>
      <c r="R89" s="13" t="inlineStr">
        <is>
          <t>재추정 1.5→1.0</t>
        </is>
      </c>
    </row>
    <row r="90" outlineLevel="1" ht="24" customHeight="1">
      <c r="A90" s="9" t="inlineStr">
        <is>
          <t>6.6</t>
        </is>
      </c>
      <c r="B90" s="9" t="inlineStr">
        <is>
          <t>작업</t>
        </is>
      </c>
      <c r="C90" s="10" t="inlineStr">
        <is>
          <t>재설치 검증</t>
        </is>
      </c>
      <c r="D90" s="9" t="inlineStr">
        <is>
          <t>안정화·인도</t>
        </is>
      </c>
      <c r="E90" s="9" t="inlineStr"/>
      <c r="F90" s="11" t="n">
        <v>0.5</v>
      </c>
      <c r="G90" s="9" t="n">
        <v>15</v>
      </c>
      <c r="H90" s="9" t="n">
        <v>15</v>
      </c>
      <c r="I90" s="12">
        <f>표지!$C$15+7*(G90-1)</f>
        <v/>
      </c>
      <c r="J90" s="12">
        <f>표지!$C$15+7*(H90-1)+6</f>
        <v/>
      </c>
      <c r="K90" s="9" t="inlineStr">
        <is>
          <t>기경현</t>
        </is>
      </c>
      <c r="L90" s="13" t="inlineStr">
        <is>
          <t>6.3</t>
        </is>
      </c>
      <c r="M90" s="13" t="inlineStr">
        <is>
          <t>점검 결과</t>
        </is>
      </c>
      <c r="N90" s="9" t="inlineStr"/>
      <c r="O90" s="9" t="inlineStr">
        <is>
          <t>대기</t>
        </is>
      </c>
      <c r="P90" s="14" t="n">
        <v>0</v>
      </c>
      <c r="Q90" s="11">
        <f>IF(OR($O90="제외",$O90="보류"),0,$F90*$P90)</f>
        <v/>
      </c>
      <c r="R90" s="13" t="inlineStr">
        <is>
          <t>M7 통과 조건</t>
        </is>
      </c>
    </row>
  </sheetData>
  <autoFilter ref="A4:R90"/>
  <mergeCells count="2">
    <mergeCell ref="A2:R2"/>
    <mergeCell ref="A1:R1"/>
  </mergeCells>
  <conditionalFormatting sqref="O5:O90">
    <cfRule type="cellIs" priority="1" operator="equal" dxfId="0">
      <formula>"완료"</formula>
    </cfRule>
    <cfRule type="cellIs" priority="2" operator="equal" dxfId="1">
      <formula>"진행중"</formula>
    </cfRule>
    <cfRule type="cellIs" priority="3" operator="equal" dxfId="2">
      <formula>"대기"</formula>
    </cfRule>
    <cfRule type="cellIs" priority="4" operator="equal" dxfId="3">
      <formula>"보류"</formula>
    </cfRule>
    <cfRule type="cellIs" priority="5" operator="equal" dxfId="4">
      <formula>"제외"</formula>
    </cfRule>
  </conditionalFormatting>
  <conditionalFormatting sqref="P5:P90">
    <cfRule type="cellIs" priority="6" operator="equal" dxfId="0">
      <formula>1</formula>
    </cfRule>
    <cfRule type="cellIs" priority="7" operator="between" dxfId="5">
      <formula>0.001</formula>
      <formula>0.999</formula>
    </cfRule>
  </conditionalFormatting>
  <dataValidations count="2">
    <dataValidation sqref="O6 O7 O8 O9 O11 O12 O13 O14 O15 O17 O18 O19 O20 O21 O22 O23 O24 O27 O28 O29 O30 O31 O32 O34 O35 O36 O37 O38 O39 O41 O42 O43 O44 O45 O47 O48 O49 O50 O51 O52 O53 O55 O56 O57 O58 O59 O60 O62 O63 O64 O65 O66 O67 O69 O70 O71 O73 O74 O75 O77 O78 O79 O80 O81 O82 O83 O85 O86 O87 O88 O89 O90" showDropDown="0" showInputMessage="0" showErrorMessage="0" allowBlank="0" errorTitle="상태" error="대기 / 진행중 / 완료 / 보류 / 제외 중에서 고르세요." promptTitle="진행 상태" prompt="주간 리뷰에서 이 칸과 진행률만 고칩니다." type="list">
      <formula1>"대기,진행중,완료,보류,제외"</formula1>
    </dataValidation>
    <dataValidation sqref="P6 P7 P8 P9 P11 P12 P13 P14 P15 P17 P18 P19 P20 P21 P22 P23 P24 P27 P28 P29 P30 P31 P32 P34 P35 P36 P37 P38 P39 P41 P42 P43 P44 P45 P47 P48 P49 P50 P51 P52 P53 P55 P56 P57 P58 P59 P60 P62 P63 P64 P65 P66 P67 P69 P70 P71 P73 P74 P75 P77 P78 P79 P80 P81 P82 P83 P85 P86 P87 P88 P89 P90" showDropDown="0" showInputMessage="0" showErrorMessage="0" allowBlank="1" errorTitle="진행률" error="0%~100% 사이 값을 넣으세요." type="decimal" operator="between">
      <formula1>0</formula1>
      <formula2>1</formula2>
    </dataValidation>
  </dataValidations>
  <printOptions gridLines="0"/>
  <pageMargins left="0.35" right="0.35" top="0.55" bottom="0.45" header="0.2" footer="0.2"/>
  <pageSetup orientation="landscape" paperSize="9" fitToHeight="0" fitToWidth="1"/>
  <headerFooter>
    <oddHeader>&amp;L&amp;8WBS&amp;R&amp;8Signal Guard WBS v1.0</oddHeader>
    <oddFooter>&amp;L&amp;8실시간 교통신호 상태정보 오류검지 시스템 · 2026-09-12&amp;R&amp;8&amp;P / &amp;N</oddFooter>
    <evenHeader/>
    <evenFooter/>
    <firstHeader/>
    <firstFooter/>
  </headerFooter>
</worksheet>
</file>

<file path=xl/worksheets/sheet2.xml><?xml version="1.0" encoding="utf-8"?>
<worksheet xmlns="http://schemas.openxmlformats.org/spreadsheetml/2006/main">
  <sheetPr>
    <tabColor rgb="002E5090"/>
    <outlinePr summaryBelow="0" summaryRight="1"/>
    <pageSetUpPr fitToPage="1"/>
  </sheetPr>
  <dimension ref="A1:V99"/>
  <sheetViews>
    <sheetView showGridLines="0" workbookViewId="0">
      <pane xSplit="7" ySplit="4" topLeftCell="H5" activePane="bottomRight" state="frozen"/>
      <selection pane="topRight"/>
      <selection pane="bottomLeft"/>
      <selection pane="bottomRight" activeCell="A1" sqref="A1"/>
    </sheetView>
  </sheetViews>
  <sheetFormatPr baseColWidth="8" defaultRowHeight="15"/>
  <cols>
    <col width="9" customWidth="1" min="1" max="1"/>
    <col width="40" customWidth="1" min="2" max="2"/>
    <col width="9" customWidth="1" min="3" max="3"/>
    <col width="7" customWidth="1" min="4" max="4"/>
    <col width="7" customWidth="1" min="5" max="5"/>
    <col width="9" customWidth="1" min="6" max="6"/>
    <col width="8" customWidth="1" min="7" max="7"/>
    <col width="4.4" customWidth="1" min="8" max="8"/>
    <col width="4.4" customWidth="1" min="9" max="9"/>
    <col width="4.4" customWidth="1" min="10" max="10"/>
    <col width="4.4" customWidth="1" min="11" max="11"/>
    <col width="4.4" customWidth="1" min="12" max="12"/>
    <col width="4.4" customWidth="1" min="13" max="13"/>
    <col width="4.4" customWidth="1" min="14" max="14"/>
    <col width="4.4" customWidth="1" min="15" max="15"/>
    <col width="4.4" customWidth="1" min="16" max="16"/>
    <col width="4.4" customWidth="1" min="17" max="17"/>
    <col width="4.4" customWidth="1" min="18" max="18"/>
    <col width="4.4" customWidth="1" min="19" max="19"/>
    <col width="4.4" customWidth="1" min="20" max="20"/>
    <col width="4.4" customWidth="1" min="21" max="21"/>
    <col width="4.4" customWidth="1" min="22" max="22"/>
  </cols>
  <sheetData>
    <row r="1" ht="26" customHeight="1">
      <c r="A1" s="1" t="inlineStr">
        <is>
          <t>주차별 일정 (15주)</t>
        </is>
      </c>
    </row>
    <row r="2">
      <c r="A2" s="28" t="inlineStr">
        <is>
          <t>범례   ● 완료    ▶ 진행중    ■ 계획    ◇ 보류    · 제외        노란 세로 띠 = 현재 주차 (표지 기준일 기준)</t>
        </is>
      </c>
    </row>
    <row r="3" ht="22" customHeight="1">
      <c r="A3" s="3" t="inlineStr">
        <is>
          <t>WBS ID</t>
        </is>
      </c>
      <c r="B3" s="3" t="inlineStr">
        <is>
          <t>작업 항목</t>
        </is>
      </c>
      <c r="C3" s="3" t="inlineStr">
        <is>
          <t>담당</t>
        </is>
      </c>
      <c r="D3" s="3" t="inlineStr">
        <is>
          <t>시작주</t>
        </is>
      </c>
      <c r="E3" s="3" t="inlineStr">
        <is>
          <t>종료주</t>
        </is>
      </c>
      <c r="F3" s="3" t="inlineStr">
        <is>
          <t>상태</t>
        </is>
      </c>
      <c r="G3" s="3" t="inlineStr">
        <is>
          <t>진행률</t>
        </is>
      </c>
      <c r="H3" s="29" t="n">
        <v>1</v>
      </c>
      <c r="I3" s="29" t="n">
        <v>2</v>
      </c>
      <c r="J3" s="29" t="n">
        <v>3</v>
      </c>
      <c r="K3" s="29" t="n">
        <v>4</v>
      </c>
      <c r="L3" s="29" t="n">
        <v>5</v>
      </c>
      <c r="M3" s="29" t="n">
        <v>6</v>
      </c>
      <c r="N3" s="29" t="n">
        <v>7</v>
      </c>
      <c r="O3" s="29" t="n">
        <v>8</v>
      </c>
      <c r="P3" s="29" t="n">
        <v>9</v>
      </c>
      <c r="Q3" s="29" t="n">
        <v>10</v>
      </c>
      <c r="R3" s="29" t="n">
        <v>11</v>
      </c>
      <c r="S3" s="29" t="n">
        <v>12</v>
      </c>
      <c r="T3" s="29" t="n">
        <v>13</v>
      </c>
      <c r="U3" s="29" t="n">
        <v>14</v>
      </c>
      <c r="V3" s="29" t="n">
        <v>15</v>
      </c>
    </row>
    <row r="4">
      <c r="A4" s="30" t="inlineStr">
        <is>
          <t>주 시작일 →</t>
        </is>
      </c>
      <c r="B4" s="30" t="n"/>
      <c r="C4" s="30" t="n"/>
      <c r="D4" s="30" t="n"/>
      <c r="E4" s="30" t="n"/>
      <c r="F4" s="30" t="n"/>
      <c r="G4" s="30" t="n"/>
      <c r="H4" s="31">
        <f>표지!$C$15+7*(1-1)</f>
        <v/>
      </c>
      <c r="I4" s="31">
        <f>표지!$C$15+7*(2-1)</f>
        <v/>
      </c>
      <c r="J4" s="31">
        <f>표지!$C$15+7*(3-1)</f>
        <v/>
      </c>
      <c r="K4" s="31">
        <f>표지!$C$15+7*(4-1)</f>
        <v/>
      </c>
      <c r="L4" s="31">
        <f>표지!$C$15+7*(5-1)</f>
        <v/>
      </c>
      <c r="M4" s="31">
        <f>표지!$C$15+7*(6-1)</f>
        <v/>
      </c>
      <c r="N4" s="31">
        <f>표지!$C$15+7*(7-1)</f>
        <v/>
      </c>
      <c r="O4" s="31">
        <f>표지!$C$15+7*(8-1)</f>
        <v/>
      </c>
      <c r="P4" s="31">
        <f>표지!$C$15+7*(9-1)</f>
        <v/>
      </c>
      <c r="Q4" s="31">
        <f>표지!$C$15+7*(10-1)</f>
        <v/>
      </c>
      <c r="R4" s="31">
        <f>표지!$C$15+7*(11-1)</f>
        <v/>
      </c>
      <c r="S4" s="31">
        <f>표지!$C$15+7*(12-1)</f>
        <v/>
      </c>
      <c r="T4" s="31">
        <f>표지!$C$15+7*(13-1)</f>
        <v/>
      </c>
      <c r="U4" s="31">
        <f>표지!$C$15+7*(14-1)</f>
        <v/>
      </c>
      <c r="V4" s="31">
        <f>표지!$C$15+7*(15-1)</f>
        <v/>
      </c>
    </row>
    <row r="5" ht="18" customHeight="1">
      <c r="A5" s="32">
        <f>WBS!A5</f>
        <v/>
      </c>
      <c r="B5" s="33">
        <f>WBS!C5</f>
        <v/>
      </c>
      <c r="C5" s="32">
        <f>WBS!K5</f>
        <v/>
      </c>
      <c r="D5" s="32">
        <f>WBS!G5</f>
        <v/>
      </c>
      <c r="E5" s="32">
        <f>WBS!H5</f>
        <v/>
      </c>
      <c r="F5" s="32">
        <f>WBS!O5</f>
        <v/>
      </c>
      <c r="G5" s="34">
        <f>WBS!P5</f>
        <v/>
      </c>
      <c r="H5" s="9">
        <f>IF(AND(1&gt;=$D5,1&lt;=$E5),IF($F5="완료","●",IF($F5="진행중","▶",IF($F5="제외",".",IF($F5="보류","◇","■")))),"")</f>
        <v/>
      </c>
      <c r="I5" s="9">
        <f>IF(AND(2&gt;=$D5,2&lt;=$E5),IF($F5="완료","●",IF($F5="진행중","▶",IF($F5="제외",".",IF($F5="보류","◇","■")))),"")</f>
        <v/>
      </c>
      <c r="J5" s="9">
        <f>IF(AND(3&gt;=$D5,3&lt;=$E5),IF($F5="완료","●",IF($F5="진행중","▶",IF($F5="제외",".",IF($F5="보류","◇","■")))),"")</f>
        <v/>
      </c>
      <c r="K5" s="9">
        <f>IF(AND(4&gt;=$D5,4&lt;=$E5),IF($F5="완료","●",IF($F5="진행중","▶",IF($F5="제외",".",IF($F5="보류","◇","■")))),"")</f>
        <v/>
      </c>
      <c r="L5" s="9">
        <f>IF(AND(5&gt;=$D5,5&lt;=$E5),IF($F5="완료","●",IF($F5="진행중","▶",IF($F5="제외",".",IF($F5="보류","◇","■")))),"")</f>
        <v/>
      </c>
      <c r="M5" s="9">
        <f>IF(AND(6&gt;=$D5,6&lt;=$E5),IF($F5="완료","●",IF($F5="진행중","▶",IF($F5="제외",".",IF($F5="보류","◇","■")))),"")</f>
        <v/>
      </c>
      <c r="N5" s="9">
        <f>IF(AND(7&gt;=$D5,7&lt;=$E5),IF($F5="완료","●",IF($F5="진행중","▶",IF($F5="제외",".",IF($F5="보류","◇","■")))),"")</f>
        <v/>
      </c>
      <c r="O5" s="9">
        <f>IF(AND(8&gt;=$D5,8&lt;=$E5),IF($F5="완료","●",IF($F5="진행중","▶",IF($F5="제외",".",IF($F5="보류","◇","■")))),"")</f>
        <v/>
      </c>
      <c r="P5" s="9">
        <f>IF(AND(9&gt;=$D5,9&lt;=$E5),IF($F5="완료","●",IF($F5="진행중","▶",IF($F5="제외",".",IF($F5="보류","◇","■")))),"")</f>
        <v/>
      </c>
      <c r="Q5" s="9">
        <f>IF(AND(10&gt;=$D5,10&lt;=$E5),IF($F5="완료","●",IF($F5="진행중","▶",IF($F5="제외",".",IF($F5="보류","◇","■")))),"")</f>
        <v/>
      </c>
      <c r="R5" s="9">
        <f>IF(AND(11&gt;=$D5,11&lt;=$E5),IF($F5="완료","●",IF($F5="진행중","▶",IF($F5="제외",".",IF($F5="보류","◇","■")))),"")</f>
        <v/>
      </c>
      <c r="S5" s="9">
        <f>IF(AND(12&gt;=$D5,12&lt;=$E5),IF($F5="완료","●",IF($F5="진행중","▶",IF($F5="제외",".",IF($F5="보류","◇","■")))),"")</f>
        <v/>
      </c>
      <c r="T5" s="9">
        <f>IF(AND(13&gt;=$D5,13&lt;=$E5),IF($F5="완료","●",IF($F5="진행중","▶",IF($F5="제외",".",IF($F5="보류","◇","■")))),"")</f>
        <v/>
      </c>
      <c r="U5" s="9">
        <f>IF(AND(14&gt;=$D5,14&lt;=$E5),IF($F5="완료","●",IF($F5="진행중","▶",IF($F5="제외",".",IF($F5="보류","◇","■")))),"")</f>
        <v/>
      </c>
      <c r="V5" s="9">
        <f>IF(AND(15&gt;=$D5,15&lt;=$E5),IF($F5="완료","●",IF($F5="진행중","▶",IF($F5="제외",".",IF($F5="보류","◇","■")))),"")</f>
        <v/>
      </c>
    </row>
    <row r="6" outlineLevel="1" ht="18" customHeight="1">
      <c r="A6" s="9">
        <f>WBS!A6</f>
        <v/>
      </c>
      <c r="B6" s="10">
        <f>WBS!C6</f>
        <v/>
      </c>
      <c r="C6" s="9">
        <f>WBS!K6</f>
        <v/>
      </c>
      <c r="D6" s="9">
        <f>WBS!G6</f>
        <v/>
      </c>
      <c r="E6" s="9">
        <f>WBS!H6</f>
        <v/>
      </c>
      <c r="F6" s="9">
        <f>WBS!O6</f>
        <v/>
      </c>
      <c r="G6" s="14">
        <f>WBS!P6</f>
        <v/>
      </c>
      <c r="H6" s="9">
        <f>IF(AND(1&gt;=$D6,1&lt;=$E6),IF($F6="완료","●",IF($F6="진행중","▶",IF($F6="제외",".",IF($F6="보류","◇","■")))),"")</f>
        <v/>
      </c>
      <c r="I6" s="9">
        <f>IF(AND(2&gt;=$D6,2&lt;=$E6),IF($F6="완료","●",IF($F6="진행중","▶",IF($F6="제외",".",IF($F6="보류","◇","■")))),"")</f>
        <v/>
      </c>
      <c r="J6" s="9">
        <f>IF(AND(3&gt;=$D6,3&lt;=$E6),IF($F6="완료","●",IF($F6="진행중","▶",IF($F6="제외",".",IF($F6="보류","◇","■")))),"")</f>
        <v/>
      </c>
      <c r="K6" s="9">
        <f>IF(AND(4&gt;=$D6,4&lt;=$E6),IF($F6="완료","●",IF($F6="진행중","▶",IF($F6="제외",".",IF($F6="보류","◇","■")))),"")</f>
        <v/>
      </c>
      <c r="L6" s="9">
        <f>IF(AND(5&gt;=$D6,5&lt;=$E6),IF($F6="완료","●",IF($F6="진행중","▶",IF($F6="제외",".",IF($F6="보류","◇","■")))),"")</f>
        <v/>
      </c>
      <c r="M6" s="9">
        <f>IF(AND(6&gt;=$D6,6&lt;=$E6),IF($F6="완료","●",IF($F6="진행중","▶",IF($F6="제외",".",IF($F6="보류","◇","■")))),"")</f>
        <v/>
      </c>
      <c r="N6" s="9">
        <f>IF(AND(7&gt;=$D6,7&lt;=$E6),IF($F6="완료","●",IF($F6="진행중","▶",IF($F6="제외",".",IF($F6="보류","◇","■")))),"")</f>
        <v/>
      </c>
      <c r="O6" s="9">
        <f>IF(AND(8&gt;=$D6,8&lt;=$E6),IF($F6="완료","●",IF($F6="진행중","▶",IF($F6="제외",".",IF($F6="보류","◇","■")))),"")</f>
        <v/>
      </c>
      <c r="P6" s="9">
        <f>IF(AND(9&gt;=$D6,9&lt;=$E6),IF($F6="완료","●",IF($F6="진행중","▶",IF($F6="제외",".",IF($F6="보류","◇","■")))),"")</f>
        <v/>
      </c>
      <c r="Q6" s="9">
        <f>IF(AND(10&gt;=$D6,10&lt;=$E6),IF($F6="완료","●",IF($F6="진행중","▶",IF($F6="제외",".",IF($F6="보류","◇","■")))),"")</f>
        <v/>
      </c>
      <c r="R6" s="9">
        <f>IF(AND(11&gt;=$D6,11&lt;=$E6),IF($F6="완료","●",IF($F6="진행중","▶",IF($F6="제외",".",IF($F6="보류","◇","■")))),"")</f>
        <v/>
      </c>
      <c r="S6" s="9">
        <f>IF(AND(12&gt;=$D6,12&lt;=$E6),IF($F6="완료","●",IF($F6="진행중","▶",IF($F6="제외",".",IF($F6="보류","◇","■")))),"")</f>
        <v/>
      </c>
      <c r="T6" s="9">
        <f>IF(AND(13&gt;=$D6,13&lt;=$E6),IF($F6="완료","●",IF($F6="진행중","▶",IF($F6="제외",".",IF($F6="보류","◇","■")))),"")</f>
        <v/>
      </c>
      <c r="U6" s="9">
        <f>IF(AND(14&gt;=$D6,14&lt;=$E6),IF($F6="완료","●",IF($F6="진행중","▶",IF($F6="제외",".",IF($F6="보류","◇","■")))),"")</f>
        <v/>
      </c>
      <c r="V6" s="9">
        <f>IF(AND(15&gt;=$D6,15&lt;=$E6),IF($F6="완료","●",IF($F6="진행중","▶",IF($F6="제외",".",IF($F6="보류","◇","■")))),"")</f>
        <v/>
      </c>
    </row>
    <row r="7" outlineLevel="1" ht="18" customHeight="1">
      <c r="A7" s="9">
        <f>WBS!A7</f>
        <v/>
      </c>
      <c r="B7" s="10">
        <f>WBS!C7</f>
        <v/>
      </c>
      <c r="C7" s="9">
        <f>WBS!K7</f>
        <v/>
      </c>
      <c r="D7" s="9">
        <f>WBS!G7</f>
        <v/>
      </c>
      <c r="E7" s="9">
        <f>WBS!H7</f>
        <v/>
      </c>
      <c r="F7" s="9">
        <f>WBS!O7</f>
        <v/>
      </c>
      <c r="G7" s="14">
        <f>WBS!P7</f>
        <v/>
      </c>
      <c r="H7" s="9">
        <f>IF(AND(1&gt;=$D7,1&lt;=$E7),IF($F7="완료","●",IF($F7="진행중","▶",IF($F7="제외",".",IF($F7="보류","◇","■")))),"")</f>
        <v/>
      </c>
      <c r="I7" s="9">
        <f>IF(AND(2&gt;=$D7,2&lt;=$E7),IF($F7="완료","●",IF($F7="진행중","▶",IF($F7="제외",".",IF($F7="보류","◇","■")))),"")</f>
        <v/>
      </c>
      <c r="J7" s="9">
        <f>IF(AND(3&gt;=$D7,3&lt;=$E7),IF($F7="완료","●",IF($F7="진행중","▶",IF($F7="제외",".",IF($F7="보류","◇","■")))),"")</f>
        <v/>
      </c>
      <c r="K7" s="9">
        <f>IF(AND(4&gt;=$D7,4&lt;=$E7),IF($F7="완료","●",IF($F7="진행중","▶",IF($F7="제외",".",IF($F7="보류","◇","■")))),"")</f>
        <v/>
      </c>
      <c r="L7" s="9">
        <f>IF(AND(5&gt;=$D7,5&lt;=$E7),IF($F7="완료","●",IF($F7="진행중","▶",IF($F7="제외",".",IF($F7="보류","◇","■")))),"")</f>
        <v/>
      </c>
      <c r="M7" s="9">
        <f>IF(AND(6&gt;=$D7,6&lt;=$E7),IF($F7="완료","●",IF($F7="진행중","▶",IF($F7="제외",".",IF($F7="보류","◇","■")))),"")</f>
        <v/>
      </c>
      <c r="N7" s="9">
        <f>IF(AND(7&gt;=$D7,7&lt;=$E7),IF($F7="완료","●",IF($F7="진행중","▶",IF($F7="제외",".",IF($F7="보류","◇","■")))),"")</f>
        <v/>
      </c>
      <c r="O7" s="9">
        <f>IF(AND(8&gt;=$D7,8&lt;=$E7),IF($F7="완료","●",IF($F7="진행중","▶",IF($F7="제외",".",IF($F7="보류","◇","■")))),"")</f>
        <v/>
      </c>
      <c r="P7" s="9">
        <f>IF(AND(9&gt;=$D7,9&lt;=$E7),IF($F7="완료","●",IF($F7="진행중","▶",IF($F7="제외",".",IF($F7="보류","◇","■")))),"")</f>
        <v/>
      </c>
      <c r="Q7" s="9">
        <f>IF(AND(10&gt;=$D7,10&lt;=$E7),IF($F7="완료","●",IF($F7="진행중","▶",IF($F7="제외",".",IF($F7="보류","◇","■")))),"")</f>
        <v/>
      </c>
      <c r="R7" s="9">
        <f>IF(AND(11&gt;=$D7,11&lt;=$E7),IF($F7="완료","●",IF($F7="진행중","▶",IF($F7="제외",".",IF($F7="보류","◇","■")))),"")</f>
        <v/>
      </c>
      <c r="S7" s="9">
        <f>IF(AND(12&gt;=$D7,12&lt;=$E7),IF($F7="완료","●",IF($F7="진행중","▶",IF($F7="제외",".",IF($F7="보류","◇","■")))),"")</f>
        <v/>
      </c>
      <c r="T7" s="9">
        <f>IF(AND(13&gt;=$D7,13&lt;=$E7),IF($F7="완료","●",IF($F7="진행중","▶",IF($F7="제외",".",IF($F7="보류","◇","■")))),"")</f>
        <v/>
      </c>
      <c r="U7" s="9">
        <f>IF(AND(14&gt;=$D7,14&lt;=$E7),IF($F7="완료","●",IF($F7="진행중","▶",IF($F7="제외",".",IF($F7="보류","◇","■")))),"")</f>
        <v/>
      </c>
      <c r="V7" s="9">
        <f>IF(AND(15&gt;=$D7,15&lt;=$E7),IF($F7="완료","●",IF($F7="진행중","▶",IF($F7="제외",".",IF($F7="보류","◇","■")))),"")</f>
        <v/>
      </c>
    </row>
    <row r="8" outlineLevel="1" ht="18" customHeight="1">
      <c r="A8" s="9">
        <f>WBS!A8</f>
        <v/>
      </c>
      <c r="B8" s="10">
        <f>WBS!C8</f>
        <v/>
      </c>
      <c r="C8" s="9">
        <f>WBS!K8</f>
        <v/>
      </c>
      <c r="D8" s="9">
        <f>WBS!G8</f>
        <v/>
      </c>
      <c r="E8" s="9">
        <f>WBS!H8</f>
        <v/>
      </c>
      <c r="F8" s="9">
        <f>WBS!O8</f>
        <v/>
      </c>
      <c r="G8" s="14">
        <f>WBS!P8</f>
        <v/>
      </c>
      <c r="H8" s="9">
        <f>IF(AND(1&gt;=$D8,1&lt;=$E8),IF($F8="완료","●",IF($F8="진행중","▶",IF($F8="제외",".",IF($F8="보류","◇","■")))),"")</f>
        <v/>
      </c>
      <c r="I8" s="9">
        <f>IF(AND(2&gt;=$D8,2&lt;=$E8),IF($F8="완료","●",IF($F8="진행중","▶",IF($F8="제외",".",IF($F8="보류","◇","■")))),"")</f>
        <v/>
      </c>
      <c r="J8" s="9">
        <f>IF(AND(3&gt;=$D8,3&lt;=$E8),IF($F8="완료","●",IF($F8="진행중","▶",IF($F8="제외",".",IF($F8="보류","◇","■")))),"")</f>
        <v/>
      </c>
      <c r="K8" s="9">
        <f>IF(AND(4&gt;=$D8,4&lt;=$E8),IF($F8="완료","●",IF($F8="진행중","▶",IF($F8="제외",".",IF($F8="보류","◇","■")))),"")</f>
        <v/>
      </c>
      <c r="L8" s="9">
        <f>IF(AND(5&gt;=$D8,5&lt;=$E8),IF($F8="완료","●",IF($F8="진행중","▶",IF($F8="제외",".",IF($F8="보류","◇","■")))),"")</f>
        <v/>
      </c>
      <c r="M8" s="9">
        <f>IF(AND(6&gt;=$D8,6&lt;=$E8),IF($F8="완료","●",IF($F8="진행중","▶",IF($F8="제외",".",IF($F8="보류","◇","■")))),"")</f>
        <v/>
      </c>
      <c r="N8" s="9">
        <f>IF(AND(7&gt;=$D8,7&lt;=$E8),IF($F8="완료","●",IF($F8="진행중","▶",IF($F8="제외",".",IF($F8="보류","◇","■")))),"")</f>
        <v/>
      </c>
      <c r="O8" s="9">
        <f>IF(AND(8&gt;=$D8,8&lt;=$E8),IF($F8="완료","●",IF($F8="진행중","▶",IF($F8="제외",".",IF($F8="보류","◇","■")))),"")</f>
        <v/>
      </c>
      <c r="P8" s="9">
        <f>IF(AND(9&gt;=$D8,9&lt;=$E8),IF($F8="완료","●",IF($F8="진행중","▶",IF($F8="제외",".",IF($F8="보류","◇","■")))),"")</f>
        <v/>
      </c>
      <c r="Q8" s="9">
        <f>IF(AND(10&gt;=$D8,10&lt;=$E8),IF($F8="완료","●",IF($F8="진행중","▶",IF($F8="제외",".",IF($F8="보류","◇","■")))),"")</f>
        <v/>
      </c>
      <c r="R8" s="9">
        <f>IF(AND(11&gt;=$D8,11&lt;=$E8),IF($F8="완료","●",IF($F8="진행중","▶",IF($F8="제외",".",IF($F8="보류","◇","■")))),"")</f>
        <v/>
      </c>
      <c r="S8" s="9">
        <f>IF(AND(12&gt;=$D8,12&lt;=$E8),IF($F8="완료","●",IF($F8="진행중","▶",IF($F8="제외",".",IF($F8="보류","◇","■")))),"")</f>
        <v/>
      </c>
      <c r="T8" s="9">
        <f>IF(AND(13&gt;=$D8,13&lt;=$E8),IF($F8="완료","●",IF($F8="진행중","▶",IF($F8="제외",".",IF($F8="보류","◇","■")))),"")</f>
        <v/>
      </c>
      <c r="U8" s="9">
        <f>IF(AND(14&gt;=$D8,14&lt;=$E8),IF($F8="완료","●",IF($F8="진행중","▶",IF($F8="제외",".",IF($F8="보류","◇","■")))),"")</f>
        <v/>
      </c>
      <c r="V8" s="9">
        <f>IF(AND(15&gt;=$D8,15&lt;=$E8),IF($F8="완료","●",IF($F8="진행중","▶",IF($F8="제외",".",IF($F8="보류","◇","■")))),"")</f>
        <v/>
      </c>
    </row>
    <row r="9" outlineLevel="1" ht="18" customHeight="1">
      <c r="A9" s="9">
        <f>WBS!A9</f>
        <v/>
      </c>
      <c r="B9" s="10">
        <f>WBS!C9</f>
        <v/>
      </c>
      <c r="C9" s="9">
        <f>WBS!K9</f>
        <v/>
      </c>
      <c r="D9" s="9">
        <f>WBS!G9</f>
        <v/>
      </c>
      <c r="E9" s="9">
        <f>WBS!H9</f>
        <v/>
      </c>
      <c r="F9" s="9">
        <f>WBS!O9</f>
        <v/>
      </c>
      <c r="G9" s="14">
        <f>WBS!P9</f>
        <v/>
      </c>
      <c r="H9" s="9">
        <f>IF(AND(1&gt;=$D9,1&lt;=$E9),IF($F9="완료","●",IF($F9="진행중","▶",IF($F9="제외",".",IF($F9="보류","◇","■")))),"")</f>
        <v/>
      </c>
      <c r="I9" s="9">
        <f>IF(AND(2&gt;=$D9,2&lt;=$E9),IF($F9="완료","●",IF($F9="진행중","▶",IF($F9="제외",".",IF($F9="보류","◇","■")))),"")</f>
        <v/>
      </c>
      <c r="J9" s="9">
        <f>IF(AND(3&gt;=$D9,3&lt;=$E9),IF($F9="완료","●",IF($F9="진행중","▶",IF($F9="제외",".",IF($F9="보류","◇","■")))),"")</f>
        <v/>
      </c>
      <c r="K9" s="9">
        <f>IF(AND(4&gt;=$D9,4&lt;=$E9),IF($F9="완료","●",IF($F9="진행중","▶",IF($F9="제외",".",IF($F9="보류","◇","■")))),"")</f>
        <v/>
      </c>
      <c r="L9" s="9">
        <f>IF(AND(5&gt;=$D9,5&lt;=$E9),IF($F9="완료","●",IF($F9="진행중","▶",IF($F9="제외",".",IF($F9="보류","◇","■")))),"")</f>
        <v/>
      </c>
      <c r="M9" s="9">
        <f>IF(AND(6&gt;=$D9,6&lt;=$E9),IF($F9="완료","●",IF($F9="진행중","▶",IF($F9="제외",".",IF($F9="보류","◇","■")))),"")</f>
        <v/>
      </c>
      <c r="N9" s="9">
        <f>IF(AND(7&gt;=$D9,7&lt;=$E9),IF($F9="완료","●",IF($F9="진행중","▶",IF($F9="제외",".",IF($F9="보류","◇","■")))),"")</f>
        <v/>
      </c>
      <c r="O9" s="9">
        <f>IF(AND(8&gt;=$D9,8&lt;=$E9),IF($F9="완료","●",IF($F9="진행중","▶",IF($F9="제외",".",IF($F9="보류","◇","■")))),"")</f>
        <v/>
      </c>
      <c r="P9" s="9">
        <f>IF(AND(9&gt;=$D9,9&lt;=$E9),IF($F9="완료","●",IF($F9="진행중","▶",IF($F9="제외",".",IF($F9="보류","◇","■")))),"")</f>
        <v/>
      </c>
      <c r="Q9" s="9">
        <f>IF(AND(10&gt;=$D9,10&lt;=$E9),IF($F9="완료","●",IF($F9="진행중","▶",IF($F9="제외",".",IF($F9="보류","◇","■")))),"")</f>
        <v/>
      </c>
      <c r="R9" s="9">
        <f>IF(AND(11&gt;=$D9,11&lt;=$E9),IF($F9="완료","●",IF($F9="진행중","▶",IF($F9="제외",".",IF($F9="보류","◇","■")))),"")</f>
        <v/>
      </c>
      <c r="S9" s="9">
        <f>IF(AND(12&gt;=$D9,12&lt;=$E9),IF($F9="완료","●",IF($F9="진행중","▶",IF($F9="제외",".",IF($F9="보류","◇","■")))),"")</f>
        <v/>
      </c>
      <c r="T9" s="9">
        <f>IF(AND(13&gt;=$D9,13&lt;=$E9),IF($F9="완료","●",IF($F9="진행중","▶",IF($F9="제외",".",IF($F9="보류","◇","■")))),"")</f>
        <v/>
      </c>
      <c r="U9" s="9">
        <f>IF(AND(14&gt;=$D9,14&lt;=$E9),IF($F9="완료","●",IF($F9="진행중","▶",IF($F9="제외",".",IF($F9="보류","◇","■")))),"")</f>
        <v/>
      </c>
      <c r="V9" s="9">
        <f>IF(AND(15&gt;=$D9,15&lt;=$E9),IF($F9="완료","●",IF($F9="진행중","▶",IF($F9="제외",".",IF($F9="보류","◇","■")))),"")</f>
        <v/>
      </c>
    </row>
    <row r="10" ht="18" customHeight="1">
      <c r="A10" s="32">
        <f>WBS!A10</f>
        <v/>
      </c>
      <c r="B10" s="33">
        <f>WBS!C10</f>
        <v/>
      </c>
      <c r="C10" s="32">
        <f>WBS!K10</f>
        <v/>
      </c>
      <c r="D10" s="32">
        <f>WBS!G10</f>
        <v/>
      </c>
      <c r="E10" s="32">
        <f>WBS!H10</f>
        <v/>
      </c>
      <c r="F10" s="32">
        <f>WBS!O10</f>
        <v/>
      </c>
      <c r="G10" s="34">
        <f>WBS!P10</f>
        <v/>
      </c>
      <c r="H10" s="9">
        <f>IF(AND(1&gt;=$D10,1&lt;=$E10),IF($F10="완료","●",IF($F10="진행중","▶",IF($F10="제외",".",IF($F10="보류","◇","■")))),"")</f>
        <v/>
      </c>
      <c r="I10" s="9">
        <f>IF(AND(2&gt;=$D10,2&lt;=$E10),IF($F10="완료","●",IF($F10="진행중","▶",IF($F10="제외",".",IF($F10="보류","◇","■")))),"")</f>
        <v/>
      </c>
      <c r="J10" s="9">
        <f>IF(AND(3&gt;=$D10,3&lt;=$E10),IF($F10="완료","●",IF($F10="진행중","▶",IF($F10="제외",".",IF($F10="보류","◇","■")))),"")</f>
        <v/>
      </c>
      <c r="K10" s="9">
        <f>IF(AND(4&gt;=$D10,4&lt;=$E10),IF($F10="완료","●",IF($F10="진행중","▶",IF($F10="제외",".",IF($F10="보류","◇","■")))),"")</f>
        <v/>
      </c>
      <c r="L10" s="9">
        <f>IF(AND(5&gt;=$D10,5&lt;=$E10),IF($F10="완료","●",IF($F10="진행중","▶",IF($F10="제외",".",IF($F10="보류","◇","■")))),"")</f>
        <v/>
      </c>
      <c r="M10" s="9">
        <f>IF(AND(6&gt;=$D10,6&lt;=$E10),IF($F10="완료","●",IF($F10="진행중","▶",IF($F10="제외",".",IF($F10="보류","◇","■")))),"")</f>
        <v/>
      </c>
      <c r="N10" s="9">
        <f>IF(AND(7&gt;=$D10,7&lt;=$E10),IF($F10="완료","●",IF($F10="진행중","▶",IF($F10="제외",".",IF($F10="보류","◇","■")))),"")</f>
        <v/>
      </c>
      <c r="O10" s="9">
        <f>IF(AND(8&gt;=$D10,8&lt;=$E10),IF($F10="완료","●",IF($F10="진행중","▶",IF($F10="제외",".",IF($F10="보류","◇","■")))),"")</f>
        <v/>
      </c>
      <c r="P10" s="9">
        <f>IF(AND(9&gt;=$D10,9&lt;=$E10),IF($F10="완료","●",IF($F10="진행중","▶",IF($F10="제외",".",IF($F10="보류","◇","■")))),"")</f>
        <v/>
      </c>
      <c r="Q10" s="9">
        <f>IF(AND(10&gt;=$D10,10&lt;=$E10),IF($F10="완료","●",IF($F10="진행중","▶",IF($F10="제외",".",IF($F10="보류","◇","■")))),"")</f>
        <v/>
      </c>
      <c r="R10" s="9">
        <f>IF(AND(11&gt;=$D10,11&lt;=$E10),IF($F10="완료","●",IF($F10="진행중","▶",IF($F10="제외",".",IF($F10="보류","◇","■")))),"")</f>
        <v/>
      </c>
      <c r="S10" s="9">
        <f>IF(AND(12&gt;=$D10,12&lt;=$E10),IF($F10="완료","●",IF($F10="진행중","▶",IF($F10="제외",".",IF($F10="보류","◇","■")))),"")</f>
        <v/>
      </c>
      <c r="T10" s="9">
        <f>IF(AND(13&gt;=$D10,13&lt;=$E10),IF($F10="완료","●",IF($F10="진행중","▶",IF($F10="제외",".",IF($F10="보류","◇","■")))),"")</f>
        <v/>
      </c>
      <c r="U10" s="9">
        <f>IF(AND(14&gt;=$D10,14&lt;=$E10),IF($F10="완료","●",IF($F10="진행중","▶",IF($F10="제외",".",IF($F10="보류","◇","■")))),"")</f>
        <v/>
      </c>
      <c r="V10" s="9">
        <f>IF(AND(15&gt;=$D10,15&lt;=$E10),IF($F10="완료","●",IF($F10="진행중","▶",IF($F10="제외",".",IF($F10="보류","◇","■")))),"")</f>
        <v/>
      </c>
    </row>
    <row r="11" outlineLevel="1" ht="18" customHeight="1">
      <c r="A11" s="9">
        <f>WBS!A11</f>
        <v/>
      </c>
      <c r="B11" s="10">
        <f>WBS!C11</f>
        <v/>
      </c>
      <c r="C11" s="9">
        <f>WBS!K11</f>
        <v/>
      </c>
      <c r="D11" s="9">
        <f>WBS!G11</f>
        <v/>
      </c>
      <c r="E11" s="9">
        <f>WBS!H11</f>
        <v/>
      </c>
      <c r="F11" s="9">
        <f>WBS!O11</f>
        <v/>
      </c>
      <c r="G11" s="14">
        <f>WBS!P11</f>
        <v/>
      </c>
      <c r="H11" s="9">
        <f>IF(AND(1&gt;=$D11,1&lt;=$E11),IF($F11="완료","●",IF($F11="진행중","▶",IF($F11="제외",".",IF($F11="보류","◇","■")))),"")</f>
        <v/>
      </c>
      <c r="I11" s="9">
        <f>IF(AND(2&gt;=$D11,2&lt;=$E11),IF($F11="완료","●",IF($F11="진행중","▶",IF($F11="제외",".",IF($F11="보류","◇","■")))),"")</f>
        <v/>
      </c>
      <c r="J11" s="9">
        <f>IF(AND(3&gt;=$D11,3&lt;=$E11),IF($F11="완료","●",IF($F11="진행중","▶",IF($F11="제외",".",IF($F11="보류","◇","■")))),"")</f>
        <v/>
      </c>
      <c r="K11" s="9">
        <f>IF(AND(4&gt;=$D11,4&lt;=$E11),IF($F11="완료","●",IF($F11="진행중","▶",IF($F11="제외",".",IF($F11="보류","◇","■")))),"")</f>
        <v/>
      </c>
      <c r="L11" s="9">
        <f>IF(AND(5&gt;=$D11,5&lt;=$E11),IF($F11="완료","●",IF($F11="진행중","▶",IF($F11="제외",".",IF($F11="보류","◇","■")))),"")</f>
        <v/>
      </c>
      <c r="M11" s="9">
        <f>IF(AND(6&gt;=$D11,6&lt;=$E11),IF($F11="완료","●",IF($F11="진행중","▶",IF($F11="제외",".",IF($F11="보류","◇","■")))),"")</f>
        <v/>
      </c>
      <c r="N11" s="9">
        <f>IF(AND(7&gt;=$D11,7&lt;=$E11),IF($F11="완료","●",IF($F11="진행중","▶",IF($F11="제외",".",IF($F11="보류","◇","■")))),"")</f>
        <v/>
      </c>
      <c r="O11" s="9">
        <f>IF(AND(8&gt;=$D11,8&lt;=$E11),IF($F11="완료","●",IF($F11="진행중","▶",IF($F11="제외",".",IF($F11="보류","◇","■")))),"")</f>
        <v/>
      </c>
      <c r="P11" s="9">
        <f>IF(AND(9&gt;=$D11,9&lt;=$E11),IF($F11="완료","●",IF($F11="진행중","▶",IF($F11="제외",".",IF($F11="보류","◇","■")))),"")</f>
        <v/>
      </c>
      <c r="Q11" s="9">
        <f>IF(AND(10&gt;=$D11,10&lt;=$E11),IF($F11="완료","●",IF($F11="진행중","▶",IF($F11="제외",".",IF($F11="보류","◇","■")))),"")</f>
        <v/>
      </c>
      <c r="R11" s="9">
        <f>IF(AND(11&gt;=$D11,11&lt;=$E11),IF($F11="완료","●",IF($F11="진행중","▶",IF($F11="제외",".",IF($F11="보류","◇","■")))),"")</f>
        <v/>
      </c>
      <c r="S11" s="9">
        <f>IF(AND(12&gt;=$D11,12&lt;=$E11),IF($F11="완료","●",IF($F11="진행중","▶",IF($F11="제외",".",IF($F11="보류","◇","■")))),"")</f>
        <v/>
      </c>
      <c r="T11" s="9">
        <f>IF(AND(13&gt;=$D11,13&lt;=$E11),IF($F11="완료","●",IF($F11="진행중","▶",IF($F11="제외",".",IF($F11="보류","◇","■")))),"")</f>
        <v/>
      </c>
      <c r="U11" s="9">
        <f>IF(AND(14&gt;=$D11,14&lt;=$E11),IF($F11="완료","●",IF($F11="진행중","▶",IF($F11="제외",".",IF($F11="보류","◇","■")))),"")</f>
        <v/>
      </c>
      <c r="V11" s="9">
        <f>IF(AND(15&gt;=$D11,15&lt;=$E11),IF($F11="완료","●",IF($F11="진행중","▶",IF($F11="제외",".",IF($F11="보류","◇","■")))),"")</f>
        <v/>
      </c>
    </row>
    <row r="12" outlineLevel="1" ht="18" customHeight="1">
      <c r="A12" s="9">
        <f>WBS!A12</f>
        <v/>
      </c>
      <c r="B12" s="10">
        <f>WBS!C12</f>
        <v/>
      </c>
      <c r="C12" s="9">
        <f>WBS!K12</f>
        <v/>
      </c>
      <c r="D12" s="9">
        <f>WBS!G12</f>
        <v/>
      </c>
      <c r="E12" s="9">
        <f>WBS!H12</f>
        <v/>
      </c>
      <c r="F12" s="9">
        <f>WBS!O12</f>
        <v/>
      </c>
      <c r="G12" s="14">
        <f>WBS!P12</f>
        <v/>
      </c>
      <c r="H12" s="9">
        <f>IF(AND(1&gt;=$D12,1&lt;=$E12),IF($F12="완료","●",IF($F12="진행중","▶",IF($F12="제외",".",IF($F12="보류","◇","■")))),"")</f>
        <v/>
      </c>
      <c r="I12" s="9">
        <f>IF(AND(2&gt;=$D12,2&lt;=$E12),IF($F12="완료","●",IF($F12="진행중","▶",IF($F12="제외",".",IF($F12="보류","◇","■")))),"")</f>
        <v/>
      </c>
      <c r="J12" s="9">
        <f>IF(AND(3&gt;=$D12,3&lt;=$E12),IF($F12="완료","●",IF($F12="진행중","▶",IF($F12="제외",".",IF($F12="보류","◇","■")))),"")</f>
        <v/>
      </c>
      <c r="K12" s="9">
        <f>IF(AND(4&gt;=$D12,4&lt;=$E12),IF($F12="완료","●",IF($F12="진행중","▶",IF($F12="제외",".",IF($F12="보류","◇","■")))),"")</f>
        <v/>
      </c>
      <c r="L12" s="9">
        <f>IF(AND(5&gt;=$D12,5&lt;=$E12),IF($F12="완료","●",IF($F12="진행중","▶",IF($F12="제외",".",IF($F12="보류","◇","■")))),"")</f>
        <v/>
      </c>
      <c r="M12" s="9">
        <f>IF(AND(6&gt;=$D12,6&lt;=$E12),IF($F12="완료","●",IF($F12="진행중","▶",IF($F12="제외",".",IF($F12="보류","◇","■")))),"")</f>
        <v/>
      </c>
      <c r="N12" s="9">
        <f>IF(AND(7&gt;=$D12,7&lt;=$E12),IF($F12="완료","●",IF($F12="진행중","▶",IF($F12="제외",".",IF($F12="보류","◇","■")))),"")</f>
        <v/>
      </c>
      <c r="O12" s="9">
        <f>IF(AND(8&gt;=$D12,8&lt;=$E12),IF($F12="완료","●",IF($F12="진행중","▶",IF($F12="제외",".",IF($F12="보류","◇","■")))),"")</f>
        <v/>
      </c>
      <c r="P12" s="9">
        <f>IF(AND(9&gt;=$D12,9&lt;=$E12),IF($F12="완료","●",IF($F12="진행중","▶",IF($F12="제외",".",IF($F12="보류","◇","■")))),"")</f>
        <v/>
      </c>
      <c r="Q12" s="9">
        <f>IF(AND(10&gt;=$D12,10&lt;=$E12),IF($F12="완료","●",IF($F12="진행중","▶",IF($F12="제외",".",IF($F12="보류","◇","■")))),"")</f>
        <v/>
      </c>
      <c r="R12" s="9">
        <f>IF(AND(11&gt;=$D12,11&lt;=$E12),IF($F12="완료","●",IF($F12="진행중","▶",IF($F12="제외",".",IF($F12="보류","◇","■")))),"")</f>
        <v/>
      </c>
      <c r="S12" s="9">
        <f>IF(AND(12&gt;=$D12,12&lt;=$E12),IF($F12="완료","●",IF($F12="진행중","▶",IF($F12="제외",".",IF($F12="보류","◇","■")))),"")</f>
        <v/>
      </c>
      <c r="T12" s="9">
        <f>IF(AND(13&gt;=$D12,13&lt;=$E12),IF($F12="완료","●",IF($F12="진행중","▶",IF($F12="제외",".",IF($F12="보류","◇","■")))),"")</f>
        <v/>
      </c>
      <c r="U12" s="9">
        <f>IF(AND(14&gt;=$D12,14&lt;=$E12),IF($F12="완료","●",IF($F12="진행중","▶",IF($F12="제외",".",IF($F12="보류","◇","■")))),"")</f>
        <v/>
      </c>
      <c r="V12" s="9">
        <f>IF(AND(15&gt;=$D12,15&lt;=$E12),IF($F12="완료","●",IF($F12="진행중","▶",IF($F12="제외",".",IF($F12="보류","◇","■")))),"")</f>
        <v/>
      </c>
    </row>
    <row r="13" outlineLevel="1" ht="18" customHeight="1">
      <c r="A13" s="9">
        <f>WBS!A13</f>
        <v/>
      </c>
      <c r="B13" s="10">
        <f>WBS!C13</f>
        <v/>
      </c>
      <c r="C13" s="9">
        <f>WBS!K13</f>
        <v/>
      </c>
      <c r="D13" s="9">
        <f>WBS!G13</f>
        <v/>
      </c>
      <c r="E13" s="9">
        <f>WBS!H13</f>
        <v/>
      </c>
      <c r="F13" s="9">
        <f>WBS!O13</f>
        <v/>
      </c>
      <c r="G13" s="14">
        <f>WBS!P13</f>
        <v/>
      </c>
      <c r="H13" s="9">
        <f>IF(AND(1&gt;=$D13,1&lt;=$E13),IF($F13="완료","●",IF($F13="진행중","▶",IF($F13="제외",".",IF($F13="보류","◇","■")))),"")</f>
        <v/>
      </c>
      <c r="I13" s="9">
        <f>IF(AND(2&gt;=$D13,2&lt;=$E13),IF($F13="완료","●",IF($F13="진행중","▶",IF($F13="제외",".",IF($F13="보류","◇","■")))),"")</f>
        <v/>
      </c>
      <c r="J13" s="9">
        <f>IF(AND(3&gt;=$D13,3&lt;=$E13),IF($F13="완료","●",IF($F13="진행중","▶",IF($F13="제외",".",IF($F13="보류","◇","■")))),"")</f>
        <v/>
      </c>
      <c r="K13" s="9">
        <f>IF(AND(4&gt;=$D13,4&lt;=$E13),IF($F13="완료","●",IF($F13="진행중","▶",IF($F13="제외",".",IF($F13="보류","◇","■")))),"")</f>
        <v/>
      </c>
      <c r="L13" s="9">
        <f>IF(AND(5&gt;=$D13,5&lt;=$E13),IF($F13="완료","●",IF($F13="진행중","▶",IF($F13="제외",".",IF($F13="보류","◇","■")))),"")</f>
        <v/>
      </c>
      <c r="M13" s="9">
        <f>IF(AND(6&gt;=$D13,6&lt;=$E13),IF($F13="완료","●",IF($F13="진행중","▶",IF($F13="제외",".",IF($F13="보류","◇","■")))),"")</f>
        <v/>
      </c>
      <c r="N13" s="9">
        <f>IF(AND(7&gt;=$D13,7&lt;=$E13),IF($F13="완료","●",IF($F13="진행중","▶",IF($F13="제외",".",IF($F13="보류","◇","■")))),"")</f>
        <v/>
      </c>
      <c r="O13" s="9">
        <f>IF(AND(8&gt;=$D13,8&lt;=$E13),IF($F13="완료","●",IF($F13="진행중","▶",IF($F13="제외",".",IF($F13="보류","◇","■")))),"")</f>
        <v/>
      </c>
      <c r="P13" s="9">
        <f>IF(AND(9&gt;=$D13,9&lt;=$E13),IF($F13="완료","●",IF($F13="진행중","▶",IF($F13="제외",".",IF($F13="보류","◇","■")))),"")</f>
        <v/>
      </c>
      <c r="Q13" s="9">
        <f>IF(AND(10&gt;=$D13,10&lt;=$E13),IF($F13="완료","●",IF($F13="진행중","▶",IF($F13="제외",".",IF($F13="보류","◇","■")))),"")</f>
        <v/>
      </c>
      <c r="R13" s="9">
        <f>IF(AND(11&gt;=$D13,11&lt;=$E13),IF($F13="완료","●",IF($F13="진행중","▶",IF($F13="제외",".",IF($F13="보류","◇","■")))),"")</f>
        <v/>
      </c>
      <c r="S13" s="9">
        <f>IF(AND(12&gt;=$D13,12&lt;=$E13),IF($F13="완료","●",IF($F13="진행중","▶",IF($F13="제외",".",IF($F13="보류","◇","■")))),"")</f>
        <v/>
      </c>
      <c r="T13" s="9">
        <f>IF(AND(13&gt;=$D13,13&lt;=$E13),IF($F13="완료","●",IF($F13="진행중","▶",IF($F13="제외",".",IF($F13="보류","◇","■")))),"")</f>
        <v/>
      </c>
      <c r="U13" s="9">
        <f>IF(AND(14&gt;=$D13,14&lt;=$E13),IF($F13="완료","●",IF($F13="진행중","▶",IF($F13="제외",".",IF($F13="보류","◇","■")))),"")</f>
        <v/>
      </c>
      <c r="V13" s="9">
        <f>IF(AND(15&gt;=$D13,15&lt;=$E13),IF($F13="완료","●",IF($F13="진행중","▶",IF($F13="제외",".",IF($F13="보류","◇","■")))),"")</f>
        <v/>
      </c>
    </row>
    <row r="14" outlineLevel="1" ht="18" customHeight="1">
      <c r="A14" s="9">
        <f>WBS!A14</f>
        <v/>
      </c>
      <c r="B14" s="10">
        <f>WBS!C14</f>
        <v/>
      </c>
      <c r="C14" s="9">
        <f>WBS!K14</f>
        <v/>
      </c>
      <c r="D14" s="9">
        <f>WBS!G14</f>
        <v/>
      </c>
      <c r="E14" s="9">
        <f>WBS!H14</f>
        <v/>
      </c>
      <c r="F14" s="9">
        <f>WBS!O14</f>
        <v/>
      </c>
      <c r="G14" s="14">
        <f>WBS!P14</f>
        <v/>
      </c>
      <c r="H14" s="9">
        <f>IF(AND(1&gt;=$D14,1&lt;=$E14),IF($F14="완료","●",IF($F14="진행중","▶",IF($F14="제외",".",IF($F14="보류","◇","■")))),"")</f>
        <v/>
      </c>
      <c r="I14" s="9">
        <f>IF(AND(2&gt;=$D14,2&lt;=$E14),IF($F14="완료","●",IF($F14="진행중","▶",IF($F14="제외",".",IF($F14="보류","◇","■")))),"")</f>
        <v/>
      </c>
      <c r="J14" s="9">
        <f>IF(AND(3&gt;=$D14,3&lt;=$E14),IF($F14="완료","●",IF($F14="진행중","▶",IF($F14="제외",".",IF($F14="보류","◇","■")))),"")</f>
        <v/>
      </c>
      <c r="K14" s="9">
        <f>IF(AND(4&gt;=$D14,4&lt;=$E14),IF($F14="완료","●",IF($F14="진행중","▶",IF($F14="제외",".",IF($F14="보류","◇","■")))),"")</f>
        <v/>
      </c>
      <c r="L14" s="9">
        <f>IF(AND(5&gt;=$D14,5&lt;=$E14),IF($F14="완료","●",IF($F14="진행중","▶",IF($F14="제외",".",IF($F14="보류","◇","■")))),"")</f>
        <v/>
      </c>
      <c r="M14" s="9">
        <f>IF(AND(6&gt;=$D14,6&lt;=$E14),IF($F14="완료","●",IF($F14="진행중","▶",IF($F14="제외",".",IF($F14="보류","◇","■")))),"")</f>
        <v/>
      </c>
      <c r="N14" s="9">
        <f>IF(AND(7&gt;=$D14,7&lt;=$E14),IF($F14="완료","●",IF($F14="진행중","▶",IF($F14="제외",".",IF($F14="보류","◇","■")))),"")</f>
        <v/>
      </c>
      <c r="O14" s="9">
        <f>IF(AND(8&gt;=$D14,8&lt;=$E14),IF($F14="완료","●",IF($F14="진행중","▶",IF($F14="제외",".",IF($F14="보류","◇","■")))),"")</f>
        <v/>
      </c>
      <c r="P14" s="9">
        <f>IF(AND(9&gt;=$D14,9&lt;=$E14),IF($F14="완료","●",IF($F14="진행중","▶",IF($F14="제외",".",IF($F14="보류","◇","■")))),"")</f>
        <v/>
      </c>
      <c r="Q14" s="9">
        <f>IF(AND(10&gt;=$D14,10&lt;=$E14),IF($F14="완료","●",IF($F14="진행중","▶",IF($F14="제외",".",IF($F14="보류","◇","■")))),"")</f>
        <v/>
      </c>
      <c r="R14" s="9">
        <f>IF(AND(11&gt;=$D14,11&lt;=$E14),IF($F14="완료","●",IF($F14="진행중","▶",IF($F14="제외",".",IF($F14="보류","◇","■")))),"")</f>
        <v/>
      </c>
      <c r="S14" s="9">
        <f>IF(AND(12&gt;=$D14,12&lt;=$E14),IF($F14="완료","●",IF($F14="진행중","▶",IF($F14="제외",".",IF($F14="보류","◇","■")))),"")</f>
        <v/>
      </c>
      <c r="T14" s="9">
        <f>IF(AND(13&gt;=$D14,13&lt;=$E14),IF($F14="완료","●",IF($F14="진행중","▶",IF($F14="제외",".",IF($F14="보류","◇","■")))),"")</f>
        <v/>
      </c>
      <c r="U14" s="9">
        <f>IF(AND(14&gt;=$D14,14&lt;=$E14),IF($F14="완료","●",IF($F14="진행중","▶",IF($F14="제외",".",IF($F14="보류","◇","■")))),"")</f>
        <v/>
      </c>
      <c r="V14" s="9">
        <f>IF(AND(15&gt;=$D14,15&lt;=$E14),IF($F14="완료","●",IF($F14="진행중","▶",IF($F14="제외",".",IF($F14="보류","◇","■")))),"")</f>
        <v/>
      </c>
    </row>
    <row r="15" outlineLevel="1" ht="18" customHeight="1">
      <c r="A15" s="9">
        <f>WBS!A15</f>
        <v/>
      </c>
      <c r="B15" s="10">
        <f>WBS!C15</f>
        <v/>
      </c>
      <c r="C15" s="9">
        <f>WBS!K15</f>
        <v/>
      </c>
      <c r="D15" s="9">
        <f>WBS!G15</f>
        <v/>
      </c>
      <c r="E15" s="9">
        <f>WBS!H15</f>
        <v/>
      </c>
      <c r="F15" s="9">
        <f>WBS!O15</f>
        <v/>
      </c>
      <c r="G15" s="14">
        <f>WBS!P15</f>
        <v/>
      </c>
      <c r="H15" s="9">
        <f>IF(AND(1&gt;=$D15,1&lt;=$E15),IF($F15="완료","●",IF($F15="진행중","▶",IF($F15="제외",".",IF($F15="보류","◇","■")))),"")</f>
        <v/>
      </c>
      <c r="I15" s="9">
        <f>IF(AND(2&gt;=$D15,2&lt;=$E15),IF($F15="완료","●",IF($F15="진행중","▶",IF($F15="제외",".",IF($F15="보류","◇","■")))),"")</f>
        <v/>
      </c>
      <c r="J15" s="9">
        <f>IF(AND(3&gt;=$D15,3&lt;=$E15),IF($F15="완료","●",IF($F15="진행중","▶",IF($F15="제외",".",IF($F15="보류","◇","■")))),"")</f>
        <v/>
      </c>
      <c r="K15" s="9">
        <f>IF(AND(4&gt;=$D15,4&lt;=$E15),IF($F15="완료","●",IF($F15="진행중","▶",IF($F15="제외",".",IF($F15="보류","◇","■")))),"")</f>
        <v/>
      </c>
      <c r="L15" s="9">
        <f>IF(AND(5&gt;=$D15,5&lt;=$E15),IF($F15="완료","●",IF($F15="진행중","▶",IF($F15="제외",".",IF($F15="보류","◇","■")))),"")</f>
        <v/>
      </c>
      <c r="M15" s="9">
        <f>IF(AND(6&gt;=$D15,6&lt;=$E15),IF($F15="완료","●",IF($F15="진행중","▶",IF($F15="제외",".",IF($F15="보류","◇","■")))),"")</f>
        <v/>
      </c>
      <c r="N15" s="9">
        <f>IF(AND(7&gt;=$D15,7&lt;=$E15),IF($F15="완료","●",IF($F15="진행중","▶",IF($F15="제외",".",IF($F15="보류","◇","■")))),"")</f>
        <v/>
      </c>
      <c r="O15" s="9">
        <f>IF(AND(8&gt;=$D15,8&lt;=$E15),IF($F15="완료","●",IF($F15="진행중","▶",IF($F15="제외",".",IF($F15="보류","◇","■")))),"")</f>
        <v/>
      </c>
      <c r="P15" s="9">
        <f>IF(AND(9&gt;=$D15,9&lt;=$E15),IF($F15="완료","●",IF($F15="진행중","▶",IF($F15="제외",".",IF($F15="보류","◇","■")))),"")</f>
        <v/>
      </c>
      <c r="Q15" s="9">
        <f>IF(AND(10&gt;=$D15,10&lt;=$E15),IF($F15="완료","●",IF($F15="진행중","▶",IF($F15="제외",".",IF($F15="보류","◇","■")))),"")</f>
        <v/>
      </c>
      <c r="R15" s="9">
        <f>IF(AND(11&gt;=$D15,11&lt;=$E15),IF($F15="완료","●",IF($F15="진행중","▶",IF($F15="제외",".",IF($F15="보류","◇","■")))),"")</f>
        <v/>
      </c>
      <c r="S15" s="9">
        <f>IF(AND(12&gt;=$D15,12&lt;=$E15),IF($F15="완료","●",IF($F15="진행중","▶",IF($F15="제외",".",IF($F15="보류","◇","■")))),"")</f>
        <v/>
      </c>
      <c r="T15" s="9">
        <f>IF(AND(13&gt;=$D15,13&lt;=$E15),IF($F15="완료","●",IF($F15="진행중","▶",IF($F15="제외",".",IF($F15="보류","◇","■")))),"")</f>
        <v/>
      </c>
      <c r="U15" s="9">
        <f>IF(AND(14&gt;=$D15,14&lt;=$E15),IF($F15="완료","●",IF($F15="진행중","▶",IF($F15="제외",".",IF($F15="보류","◇","■")))),"")</f>
        <v/>
      </c>
      <c r="V15" s="9">
        <f>IF(AND(15&gt;=$D15,15&lt;=$E15),IF($F15="완료","●",IF($F15="진행중","▶",IF($F15="제외",".",IF($F15="보류","◇","■")))),"")</f>
        <v/>
      </c>
    </row>
    <row r="16" ht="18" customHeight="1">
      <c r="A16" s="32">
        <f>WBS!A16</f>
        <v/>
      </c>
      <c r="B16" s="33">
        <f>WBS!C16</f>
        <v/>
      </c>
      <c r="C16" s="32">
        <f>WBS!K16</f>
        <v/>
      </c>
      <c r="D16" s="32">
        <f>WBS!G16</f>
        <v/>
      </c>
      <c r="E16" s="32">
        <f>WBS!H16</f>
        <v/>
      </c>
      <c r="F16" s="32">
        <f>WBS!O16</f>
        <v/>
      </c>
      <c r="G16" s="34">
        <f>WBS!P16</f>
        <v/>
      </c>
      <c r="H16" s="9">
        <f>IF(AND(1&gt;=$D16,1&lt;=$E16),IF($F16="완료","●",IF($F16="진행중","▶",IF($F16="제외",".",IF($F16="보류","◇","■")))),"")</f>
        <v/>
      </c>
      <c r="I16" s="9">
        <f>IF(AND(2&gt;=$D16,2&lt;=$E16),IF($F16="완료","●",IF($F16="진행중","▶",IF($F16="제외",".",IF($F16="보류","◇","■")))),"")</f>
        <v/>
      </c>
      <c r="J16" s="9">
        <f>IF(AND(3&gt;=$D16,3&lt;=$E16),IF($F16="완료","●",IF($F16="진행중","▶",IF($F16="제외",".",IF($F16="보류","◇","■")))),"")</f>
        <v/>
      </c>
      <c r="K16" s="9">
        <f>IF(AND(4&gt;=$D16,4&lt;=$E16),IF($F16="완료","●",IF($F16="진행중","▶",IF($F16="제외",".",IF($F16="보류","◇","■")))),"")</f>
        <v/>
      </c>
      <c r="L16" s="9">
        <f>IF(AND(5&gt;=$D16,5&lt;=$E16),IF($F16="완료","●",IF($F16="진행중","▶",IF($F16="제외",".",IF($F16="보류","◇","■")))),"")</f>
        <v/>
      </c>
      <c r="M16" s="9">
        <f>IF(AND(6&gt;=$D16,6&lt;=$E16),IF($F16="완료","●",IF($F16="진행중","▶",IF($F16="제외",".",IF($F16="보류","◇","■")))),"")</f>
        <v/>
      </c>
      <c r="N16" s="9">
        <f>IF(AND(7&gt;=$D16,7&lt;=$E16),IF($F16="완료","●",IF($F16="진행중","▶",IF($F16="제외",".",IF($F16="보류","◇","■")))),"")</f>
        <v/>
      </c>
      <c r="O16" s="9">
        <f>IF(AND(8&gt;=$D16,8&lt;=$E16),IF($F16="완료","●",IF($F16="진행중","▶",IF($F16="제외",".",IF($F16="보류","◇","■")))),"")</f>
        <v/>
      </c>
      <c r="P16" s="9">
        <f>IF(AND(9&gt;=$D16,9&lt;=$E16),IF($F16="완료","●",IF($F16="진행중","▶",IF($F16="제외",".",IF($F16="보류","◇","■")))),"")</f>
        <v/>
      </c>
      <c r="Q16" s="9">
        <f>IF(AND(10&gt;=$D16,10&lt;=$E16),IF($F16="완료","●",IF($F16="진행중","▶",IF($F16="제외",".",IF($F16="보류","◇","■")))),"")</f>
        <v/>
      </c>
      <c r="R16" s="9">
        <f>IF(AND(11&gt;=$D16,11&lt;=$E16),IF($F16="완료","●",IF($F16="진행중","▶",IF($F16="제외",".",IF($F16="보류","◇","■")))),"")</f>
        <v/>
      </c>
      <c r="S16" s="9">
        <f>IF(AND(12&gt;=$D16,12&lt;=$E16),IF($F16="완료","●",IF($F16="진행중","▶",IF($F16="제외",".",IF($F16="보류","◇","■")))),"")</f>
        <v/>
      </c>
      <c r="T16" s="9">
        <f>IF(AND(13&gt;=$D16,13&lt;=$E16),IF($F16="완료","●",IF($F16="진행중","▶",IF($F16="제외",".",IF($F16="보류","◇","■")))),"")</f>
        <v/>
      </c>
      <c r="U16" s="9">
        <f>IF(AND(14&gt;=$D16,14&lt;=$E16),IF($F16="완료","●",IF($F16="진행중","▶",IF($F16="제외",".",IF($F16="보류","◇","■")))),"")</f>
        <v/>
      </c>
      <c r="V16" s="9">
        <f>IF(AND(15&gt;=$D16,15&lt;=$E16),IF($F16="완료","●",IF($F16="진행중","▶",IF($F16="제외",".",IF($F16="보류","◇","■")))),"")</f>
        <v/>
      </c>
    </row>
    <row r="17" outlineLevel="1" ht="18" customHeight="1">
      <c r="A17" s="9">
        <f>WBS!A17</f>
        <v/>
      </c>
      <c r="B17" s="10">
        <f>WBS!C17</f>
        <v/>
      </c>
      <c r="C17" s="9">
        <f>WBS!K17</f>
        <v/>
      </c>
      <c r="D17" s="9">
        <f>WBS!G17</f>
        <v/>
      </c>
      <c r="E17" s="9">
        <f>WBS!H17</f>
        <v/>
      </c>
      <c r="F17" s="9">
        <f>WBS!O17</f>
        <v/>
      </c>
      <c r="G17" s="14">
        <f>WBS!P17</f>
        <v/>
      </c>
      <c r="H17" s="9">
        <f>IF(AND(1&gt;=$D17,1&lt;=$E17),IF($F17="완료","●",IF($F17="진행중","▶",IF($F17="제외",".",IF($F17="보류","◇","■")))),"")</f>
        <v/>
      </c>
      <c r="I17" s="9">
        <f>IF(AND(2&gt;=$D17,2&lt;=$E17),IF($F17="완료","●",IF($F17="진행중","▶",IF($F17="제외",".",IF($F17="보류","◇","■")))),"")</f>
        <v/>
      </c>
      <c r="J17" s="9">
        <f>IF(AND(3&gt;=$D17,3&lt;=$E17),IF($F17="완료","●",IF($F17="진행중","▶",IF($F17="제외",".",IF($F17="보류","◇","■")))),"")</f>
        <v/>
      </c>
      <c r="K17" s="9">
        <f>IF(AND(4&gt;=$D17,4&lt;=$E17),IF($F17="완료","●",IF($F17="진행중","▶",IF($F17="제외",".",IF($F17="보류","◇","■")))),"")</f>
        <v/>
      </c>
      <c r="L17" s="9">
        <f>IF(AND(5&gt;=$D17,5&lt;=$E17),IF($F17="완료","●",IF($F17="진행중","▶",IF($F17="제외",".",IF($F17="보류","◇","■")))),"")</f>
        <v/>
      </c>
      <c r="M17" s="9">
        <f>IF(AND(6&gt;=$D17,6&lt;=$E17),IF($F17="완료","●",IF($F17="진행중","▶",IF($F17="제외",".",IF($F17="보류","◇","■")))),"")</f>
        <v/>
      </c>
      <c r="N17" s="9">
        <f>IF(AND(7&gt;=$D17,7&lt;=$E17),IF($F17="완료","●",IF($F17="진행중","▶",IF($F17="제외",".",IF($F17="보류","◇","■")))),"")</f>
        <v/>
      </c>
      <c r="O17" s="9">
        <f>IF(AND(8&gt;=$D17,8&lt;=$E17),IF($F17="완료","●",IF($F17="진행중","▶",IF($F17="제외",".",IF($F17="보류","◇","■")))),"")</f>
        <v/>
      </c>
      <c r="P17" s="9">
        <f>IF(AND(9&gt;=$D17,9&lt;=$E17),IF($F17="완료","●",IF($F17="진행중","▶",IF($F17="제외",".",IF($F17="보류","◇","■")))),"")</f>
        <v/>
      </c>
      <c r="Q17" s="9">
        <f>IF(AND(10&gt;=$D17,10&lt;=$E17),IF($F17="완료","●",IF($F17="진행중","▶",IF($F17="제외",".",IF($F17="보류","◇","■")))),"")</f>
        <v/>
      </c>
      <c r="R17" s="9">
        <f>IF(AND(11&gt;=$D17,11&lt;=$E17),IF($F17="완료","●",IF($F17="진행중","▶",IF($F17="제외",".",IF($F17="보류","◇","■")))),"")</f>
        <v/>
      </c>
      <c r="S17" s="9">
        <f>IF(AND(12&gt;=$D17,12&lt;=$E17),IF($F17="완료","●",IF($F17="진행중","▶",IF($F17="제외",".",IF($F17="보류","◇","■")))),"")</f>
        <v/>
      </c>
      <c r="T17" s="9">
        <f>IF(AND(13&gt;=$D17,13&lt;=$E17),IF($F17="완료","●",IF($F17="진행중","▶",IF($F17="제외",".",IF($F17="보류","◇","■")))),"")</f>
        <v/>
      </c>
      <c r="U17" s="9">
        <f>IF(AND(14&gt;=$D17,14&lt;=$E17),IF($F17="완료","●",IF($F17="진행중","▶",IF($F17="제외",".",IF($F17="보류","◇","■")))),"")</f>
        <v/>
      </c>
      <c r="V17" s="9">
        <f>IF(AND(15&gt;=$D17,15&lt;=$E17),IF($F17="완료","●",IF($F17="진행중","▶",IF($F17="제외",".",IF($F17="보류","◇","■")))),"")</f>
        <v/>
      </c>
    </row>
    <row r="18" outlineLevel="1" ht="18" customHeight="1">
      <c r="A18" s="9">
        <f>WBS!A18</f>
        <v/>
      </c>
      <c r="B18" s="10">
        <f>WBS!C18</f>
        <v/>
      </c>
      <c r="C18" s="9">
        <f>WBS!K18</f>
        <v/>
      </c>
      <c r="D18" s="9">
        <f>WBS!G18</f>
        <v/>
      </c>
      <c r="E18" s="9">
        <f>WBS!H18</f>
        <v/>
      </c>
      <c r="F18" s="9">
        <f>WBS!O18</f>
        <v/>
      </c>
      <c r="G18" s="14">
        <f>WBS!P18</f>
        <v/>
      </c>
      <c r="H18" s="9">
        <f>IF(AND(1&gt;=$D18,1&lt;=$E18),IF($F18="완료","●",IF($F18="진행중","▶",IF($F18="제외",".",IF($F18="보류","◇","■")))),"")</f>
        <v/>
      </c>
      <c r="I18" s="9">
        <f>IF(AND(2&gt;=$D18,2&lt;=$E18),IF($F18="완료","●",IF($F18="진행중","▶",IF($F18="제외",".",IF($F18="보류","◇","■")))),"")</f>
        <v/>
      </c>
      <c r="J18" s="9">
        <f>IF(AND(3&gt;=$D18,3&lt;=$E18),IF($F18="완료","●",IF($F18="진행중","▶",IF($F18="제외",".",IF($F18="보류","◇","■")))),"")</f>
        <v/>
      </c>
      <c r="K18" s="9">
        <f>IF(AND(4&gt;=$D18,4&lt;=$E18),IF($F18="완료","●",IF($F18="진행중","▶",IF($F18="제외",".",IF($F18="보류","◇","■")))),"")</f>
        <v/>
      </c>
      <c r="L18" s="9">
        <f>IF(AND(5&gt;=$D18,5&lt;=$E18),IF($F18="완료","●",IF($F18="진행중","▶",IF($F18="제외",".",IF($F18="보류","◇","■")))),"")</f>
        <v/>
      </c>
      <c r="M18" s="9">
        <f>IF(AND(6&gt;=$D18,6&lt;=$E18),IF($F18="완료","●",IF($F18="진행중","▶",IF($F18="제외",".",IF($F18="보류","◇","■")))),"")</f>
        <v/>
      </c>
      <c r="N18" s="9">
        <f>IF(AND(7&gt;=$D18,7&lt;=$E18),IF($F18="완료","●",IF($F18="진행중","▶",IF($F18="제외",".",IF($F18="보류","◇","■")))),"")</f>
        <v/>
      </c>
      <c r="O18" s="9">
        <f>IF(AND(8&gt;=$D18,8&lt;=$E18),IF($F18="완료","●",IF($F18="진행중","▶",IF($F18="제외",".",IF($F18="보류","◇","■")))),"")</f>
        <v/>
      </c>
      <c r="P18" s="9">
        <f>IF(AND(9&gt;=$D18,9&lt;=$E18),IF($F18="완료","●",IF($F18="진행중","▶",IF($F18="제외",".",IF($F18="보류","◇","■")))),"")</f>
        <v/>
      </c>
      <c r="Q18" s="9">
        <f>IF(AND(10&gt;=$D18,10&lt;=$E18),IF($F18="완료","●",IF($F18="진행중","▶",IF($F18="제외",".",IF($F18="보류","◇","■")))),"")</f>
        <v/>
      </c>
      <c r="R18" s="9">
        <f>IF(AND(11&gt;=$D18,11&lt;=$E18),IF($F18="완료","●",IF($F18="진행중","▶",IF($F18="제외",".",IF($F18="보류","◇","■")))),"")</f>
        <v/>
      </c>
      <c r="S18" s="9">
        <f>IF(AND(12&gt;=$D18,12&lt;=$E18),IF($F18="완료","●",IF($F18="진행중","▶",IF($F18="제외",".",IF($F18="보류","◇","■")))),"")</f>
        <v/>
      </c>
      <c r="T18" s="9">
        <f>IF(AND(13&gt;=$D18,13&lt;=$E18),IF($F18="완료","●",IF($F18="진행중","▶",IF($F18="제외",".",IF($F18="보류","◇","■")))),"")</f>
        <v/>
      </c>
      <c r="U18" s="9">
        <f>IF(AND(14&gt;=$D18,14&lt;=$E18),IF($F18="완료","●",IF($F18="진행중","▶",IF($F18="제외",".",IF($F18="보류","◇","■")))),"")</f>
        <v/>
      </c>
      <c r="V18" s="9">
        <f>IF(AND(15&gt;=$D18,15&lt;=$E18),IF($F18="완료","●",IF($F18="진행중","▶",IF($F18="제외",".",IF($F18="보류","◇","■")))),"")</f>
        <v/>
      </c>
    </row>
    <row r="19" outlineLevel="1" ht="18" customHeight="1">
      <c r="A19" s="9">
        <f>WBS!A19</f>
        <v/>
      </c>
      <c r="B19" s="10">
        <f>WBS!C19</f>
        <v/>
      </c>
      <c r="C19" s="9">
        <f>WBS!K19</f>
        <v/>
      </c>
      <c r="D19" s="9">
        <f>WBS!G19</f>
        <v/>
      </c>
      <c r="E19" s="9">
        <f>WBS!H19</f>
        <v/>
      </c>
      <c r="F19" s="9">
        <f>WBS!O19</f>
        <v/>
      </c>
      <c r="G19" s="14">
        <f>WBS!P19</f>
        <v/>
      </c>
      <c r="H19" s="9">
        <f>IF(AND(1&gt;=$D19,1&lt;=$E19),IF($F19="완료","●",IF($F19="진행중","▶",IF($F19="제외",".",IF($F19="보류","◇","■")))),"")</f>
        <v/>
      </c>
      <c r="I19" s="9">
        <f>IF(AND(2&gt;=$D19,2&lt;=$E19),IF($F19="완료","●",IF($F19="진행중","▶",IF($F19="제외",".",IF($F19="보류","◇","■")))),"")</f>
        <v/>
      </c>
      <c r="J19" s="9">
        <f>IF(AND(3&gt;=$D19,3&lt;=$E19),IF($F19="완료","●",IF($F19="진행중","▶",IF($F19="제외",".",IF($F19="보류","◇","■")))),"")</f>
        <v/>
      </c>
      <c r="K19" s="9">
        <f>IF(AND(4&gt;=$D19,4&lt;=$E19),IF($F19="완료","●",IF($F19="진행중","▶",IF($F19="제외",".",IF($F19="보류","◇","■")))),"")</f>
        <v/>
      </c>
      <c r="L19" s="9">
        <f>IF(AND(5&gt;=$D19,5&lt;=$E19),IF($F19="완료","●",IF($F19="진행중","▶",IF($F19="제외",".",IF($F19="보류","◇","■")))),"")</f>
        <v/>
      </c>
      <c r="M19" s="9">
        <f>IF(AND(6&gt;=$D19,6&lt;=$E19),IF($F19="완료","●",IF($F19="진행중","▶",IF($F19="제외",".",IF($F19="보류","◇","■")))),"")</f>
        <v/>
      </c>
      <c r="N19" s="9">
        <f>IF(AND(7&gt;=$D19,7&lt;=$E19),IF($F19="완료","●",IF($F19="진행중","▶",IF($F19="제외",".",IF($F19="보류","◇","■")))),"")</f>
        <v/>
      </c>
      <c r="O19" s="9">
        <f>IF(AND(8&gt;=$D19,8&lt;=$E19),IF($F19="완료","●",IF($F19="진행중","▶",IF($F19="제외",".",IF($F19="보류","◇","■")))),"")</f>
        <v/>
      </c>
      <c r="P19" s="9">
        <f>IF(AND(9&gt;=$D19,9&lt;=$E19),IF($F19="완료","●",IF($F19="진행중","▶",IF($F19="제외",".",IF($F19="보류","◇","■")))),"")</f>
        <v/>
      </c>
      <c r="Q19" s="9">
        <f>IF(AND(10&gt;=$D19,10&lt;=$E19),IF($F19="완료","●",IF($F19="진행중","▶",IF($F19="제외",".",IF($F19="보류","◇","■")))),"")</f>
        <v/>
      </c>
      <c r="R19" s="9">
        <f>IF(AND(11&gt;=$D19,11&lt;=$E19),IF($F19="완료","●",IF($F19="진행중","▶",IF($F19="제외",".",IF($F19="보류","◇","■")))),"")</f>
        <v/>
      </c>
      <c r="S19" s="9">
        <f>IF(AND(12&gt;=$D19,12&lt;=$E19),IF($F19="완료","●",IF($F19="진행중","▶",IF($F19="제외",".",IF($F19="보류","◇","■")))),"")</f>
        <v/>
      </c>
      <c r="T19" s="9">
        <f>IF(AND(13&gt;=$D19,13&lt;=$E19),IF($F19="완료","●",IF($F19="진행중","▶",IF($F19="제외",".",IF($F19="보류","◇","■")))),"")</f>
        <v/>
      </c>
      <c r="U19" s="9">
        <f>IF(AND(14&gt;=$D19,14&lt;=$E19),IF($F19="완료","●",IF($F19="진행중","▶",IF($F19="제외",".",IF($F19="보류","◇","■")))),"")</f>
        <v/>
      </c>
      <c r="V19" s="9">
        <f>IF(AND(15&gt;=$D19,15&lt;=$E19),IF($F19="완료","●",IF($F19="진행중","▶",IF($F19="제외",".",IF($F19="보류","◇","■")))),"")</f>
        <v/>
      </c>
    </row>
    <row r="20" outlineLevel="1" ht="18" customHeight="1">
      <c r="A20" s="9">
        <f>WBS!A20</f>
        <v/>
      </c>
      <c r="B20" s="10">
        <f>WBS!C20</f>
        <v/>
      </c>
      <c r="C20" s="9">
        <f>WBS!K20</f>
        <v/>
      </c>
      <c r="D20" s="9">
        <f>WBS!G20</f>
        <v/>
      </c>
      <c r="E20" s="9">
        <f>WBS!H20</f>
        <v/>
      </c>
      <c r="F20" s="9">
        <f>WBS!O20</f>
        <v/>
      </c>
      <c r="G20" s="14">
        <f>WBS!P20</f>
        <v/>
      </c>
      <c r="H20" s="9">
        <f>IF(AND(1&gt;=$D20,1&lt;=$E20),IF($F20="완료","●",IF($F20="진행중","▶",IF($F20="제외",".",IF($F20="보류","◇","■")))),"")</f>
        <v/>
      </c>
      <c r="I20" s="9">
        <f>IF(AND(2&gt;=$D20,2&lt;=$E20),IF($F20="완료","●",IF($F20="진행중","▶",IF($F20="제외",".",IF($F20="보류","◇","■")))),"")</f>
        <v/>
      </c>
      <c r="J20" s="9">
        <f>IF(AND(3&gt;=$D20,3&lt;=$E20),IF($F20="완료","●",IF($F20="진행중","▶",IF($F20="제외",".",IF($F20="보류","◇","■")))),"")</f>
        <v/>
      </c>
      <c r="K20" s="9">
        <f>IF(AND(4&gt;=$D20,4&lt;=$E20),IF($F20="완료","●",IF($F20="진행중","▶",IF($F20="제외",".",IF($F20="보류","◇","■")))),"")</f>
        <v/>
      </c>
      <c r="L20" s="9">
        <f>IF(AND(5&gt;=$D20,5&lt;=$E20),IF($F20="완료","●",IF($F20="진행중","▶",IF($F20="제외",".",IF($F20="보류","◇","■")))),"")</f>
        <v/>
      </c>
      <c r="M20" s="9">
        <f>IF(AND(6&gt;=$D20,6&lt;=$E20),IF($F20="완료","●",IF($F20="진행중","▶",IF($F20="제외",".",IF($F20="보류","◇","■")))),"")</f>
        <v/>
      </c>
      <c r="N20" s="9">
        <f>IF(AND(7&gt;=$D20,7&lt;=$E20),IF($F20="완료","●",IF($F20="진행중","▶",IF($F20="제외",".",IF($F20="보류","◇","■")))),"")</f>
        <v/>
      </c>
      <c r="O20" s="9">
        <f>IF(AND(8&gt;=$D20,8&lt;=$E20),IF($F20="완료","●",IF($F20="진행중","▶",IF($F20="제외",".",IF($F20="보류","◇","■")))),"")</f>
        <v/>
      </c>
      <c r="P20" s="9">
        <f>IF(AND(9&gt;=$D20,9&lt;=$E20),IF($F20="완료","●",IF($F20="진행중","▶",IF($F20="제외",".",IF($F20="보류","◇","■")))),"")</f>
        <v/>
      </c>
      <c r="Q20" s="9">
        <f>IF(AND(10&gt;=$D20,10&lt;=$E20),IF($F20="완료","●",IF($F20="진행중","▶",IF($F20="제외",".",IF($F20="보류","◇","■")))),"")</f>
        <v/>
      </c>
      <c r="R20" s="9">
        <f>IF(AND(11&gt;=$D20,11&lt;=$E20),IF($F20="완료","●",IF($F20="진행중","▶",IF($F20="제외",".",IF($F20="보류","◇","■")))),"")</f>
        <v/>
      </c>
      <c r="S20" s="9">
        <f>IF(AND(12&gt;=$D20,12&lt;=$E20),IF($F20="완료","●",IF($F20="진행중","▶",IF($F20="제외",".",IF($F20="보류","◇","■")))),"")</f>
        <v/>
      </c>
      <c r="T20" s="9">
        <f>IF(AND(13&gt;=$D20,13&lt;=$E20),IF($F20="완료","●",IF($F20="진행중","▶",IF($F20="제외",".",IF($F20="보류","◇","■")))),"")</f>
        <v/>
      </c>
      <c r="U20" s="9">
        <f>IF(AND(14&gt;=$D20,14&lt;=$E20),IF($F20="완료","●",IF($F20="진행중","▶",IF($F20="제외",".",IF($F20="보류","◇","■")))),"")</f>
        <v/>
      </c>
      <c r="V20" s="9">
        <f>IF(AND(15&gt;=$D20,15&lt;=$E20),IF($F20="완료","●",IF($F20="진행중","▶",IF($F20="제외",".",IF($F20="보류","◇","■")))),"")</f>
        <v/>
      </c>
    </row>
    <row r="21" outlineLevel="1" ht="18" customHeight="1">
      <c r="A21" s="9">
        <f>WBS!A21</f>
        <v/>
      </c>
      <c r="B21" s="10">
        <f>WBS!C21</f>
        <v/>
      </c>
      <c r="C21" s="9">
        <f>WBS!K21</f>
        <v/>
      </c>
      <c r="D21" s="9">
        <f>WBS!G21</f>
        <v/>
      </c>
      <c r="E21" s="9">
        <f>WBS!H21</f>
        <v/>
      </c>
      <c r="F21" s="9">
        <f>WBS!O21</f>
        <v/>
      </c>
      <c r="G21" s="14">
        <f>WBS!P21</f>
        <v/>
      </c>
      <c r="H21" s="9">
        <f>IF(AND(1&gt;=$D21,1&lt;=$E21),IF($F21="완료","●",IF($F21="진행중","▶",IF($F21="제외",".",IF($F21="보류","◇","■")))),"")</f>
        <v/>
      </c>
      <c r="I21" s="9">
        <f>IF(AND(2&gt;=$D21,2&lt;=$E21),IF($F21="완료","●",IF($F21="진행중","▶",IF($F21="제외",".",IF($F21="보류","◇","■")))),"")</f>
        <v/>
      </c>
      <c r="J21" s="9">
        <f>IF(AND(3&gt;=$D21,3&lt;=$E21),IF($F21="완료","●",IF($F21="진행중","▶",IF($F21="제외",".",IF($F21="보류","◇","■")))),"")</f>
        <v/>
      </c>
      <c r="K21" s="9">
        <f>IF(AND(4&gt;=$D21,4&lt;=$E21),IF($F21="완료","●",IF($F21="진행중","▶",IF($F21="제외",".",IF($F21="보류","◇","■")))),"")</f>
        <v/>
      </c>
      <c r="L21" s="9">
        <f>IF(AND(5&gt;=$D21,5&lt;=$E21),IF($F21="완료","●",IF($F21="진행중","▶",IF($F21="제외",".",IF($F21="보류","◇","■")))),"")</f>
        <v/>
      </c>
      <c r="M21" s="9">
        <f>IF(AND(6&gt;=$D21,6&lt;=$E21),IF($F21="완료","●",IF($F21="진행중","▶",IF($F21="제외",".",IF($F21="보류","◇","■")))),"")</f>
        <v/>
      </c>
      <c r="N21" s="9">
        <f>IF(AND(7&gt;=$D21,7&lt;=$E21),IF($F21="완료","●",IF($F21="진행중","▶",IF($F21="제외",".",IF($F21="보류","◇","■")))),"")</f>
        <v/>
      </c>
      <c r="O21" s="9">
        <f>IF(AND(8&gt;=$D21,8&lt;=$E21),IF($F21="완료","●",IF($F21="진행중","▶",IF($F21="제외",".",IF($F21="보류","◇","■")))),"")</f>
        <v/>
      </c>
      <c r="P21" s="9">
        <f>IF(AND(9&gt;=$D21,9&lt;=$E21),IF($F21="완료","●",IF($F21="진행중","▶",IF($F21="제외",".",IF($F21="보류","◇","■")))),"")</f>
        <v/>
      </c>
      <c r="Q21" s="9">
        <f>IF(AND(10&gt;=$D21,10&lt;=$E21),IF($F21="완료","●",IF($F21="진행중","▶",IF($F21="제외",".",IF($F21="보류","◇","■")))),"")</f>
        <v/>
      </c>
      <c r="R21" s="9">
        <f>IF(AND(11&gt;=$D21,11&lt;=$E21),IF($F21="완료","●",IF($F21="진행중","▶",IF($F21="제외",".",IF($F21="보류","◇","■")))),"")</f>
        <v/>
      </c>
      <c r="S21" s="9">
        <f>IF(AND(12&gt;=$D21,12&lt;=$E21),IF($F21="완료","●",IF($F21="진행중","▶",IF($F21="제외",".",IF($F21="보류","◇","■")))),"")</f>
        <v/>
      </c>
      <c r="T21" s="9">
        <f>IF(AND(13&gt;=$D21,13&lt;=$E21),IF($F21="완료","●",IF($F21="진행중","▶",IF($F21="제외",".",IF($F21="보류","◇","■")))),"")</f>
        <v/>
      </c>
      <c r="U21" s="9">
        <f>IF(AND(14&gt;=$D21,14&lt;=$E21),IF($F21="완료","●",IF($F21="진행중","▶",IF($F21="제외",".",IF($F21="보류","◇","■")))),"")</f>
        <v/>
      </c>
      <c r="V21" s="9">
        <f>IF(AND(15&gt;=$D21,15&lt;=$E21),IF($F21="완료","●",IF($F21="진행중","▶",IF($F21="제외",".",IF($F21="보류","◇","■")))),"")</f>
        <v/>
      </c>
    </row>
    <row r="22" outlineLevel="1" ht="18" customHeight="1">
      <c r="A22" s="9">
        <f>WBS!A22</f>
        <v/>
      </c>
      <c r="B22" s="10">
        <f>WBS!C22</f>
        <v/>
      </c>
      <c r="C22" s="9">
        <f>WBS!K22</f>
        <v/>
      </c>
      <c r="D22" s="9">
        <f>WBS!G22</f>
        <v/>
      </c>
      <c r="E22" s="9">
        <f>WBS!H22</f>
        <v/>
      </c>
      <c r="F22" s="9">
        <f>WBS!O22</f>
        <v/>
      </c>
      <c r="G22" s="14">
        <f>WBS!P22</f>
        <v/>
      </c>
      <c r="H22" s="9">
        <f>IF(AND(1&gt;=$D22,1&lt;=$E22),IF($F22="완료","●",IF($F22="진행중","▶",IF($F22="제외",".",IF($F22="보류","◇","■")))),"")</f>
        <v/>
      </c>
      <c r="I22" s="9">
        <f>IF(AND(2&gt;=$D22,2&lt;=$E22),IF($F22="완료","●",IF($F22="진행중","▶",IF($F22="제외",".",IF($F22="보류","◇","■")))),"")</f>
        <v/>
      </c>
      <c r="J22" s="9">
        <f>IF(AND(3&gt;=$D22,3&lt;=$E22),IF($F22="완료","●",IF($F22="진행중","▶",IF($F22="제외",".",IF($F22="보류","◇","■")))),"")</f>
        <v/>
      </c>
      <c r="K22" s="9">
        <f>IF(AND(4&gt;=$D22,4&lt;=$E22),IF($F22="완료","●",IF($F22="진행중","▶",IF($F22="제외",".",IF($F22="보류","◇","■")))),"")</f>
        <v/>
      </c>
      <c r="L22" s="9">
        <f>IF(AND(5&gt;=$D22,5&lt;=$E22),IF($F22="완료","●",IF($F22="진행중","▶",IF($F22="제외",".",IF($F22="보류","◇","■")))),"")</f>
        <v/>
      </c>
      <c r="M22" s="9">
        <f>IF(AND(6&gt;=$D22,6&lt;=$E22),IF($F22="완료","●",IF($F22="진행중","▶",IF($F22="제외",".",IF($F22="보류","◇","■")))),"")</f>
        <v/>
      </c>
      <c r="N22" s="9">
        <f>IF(AND(7&gt;=$D22,7&lt;=$E22),IF($F22="완료","●",IF($F22="진행중","▶",IF($F22="제외",".",IF($F22="보류","◇","■")))),"")</f>
        <v/>
      </c>
      <c r="O22" s="9">
        <f>IF(AND(8&gt;=$D22,8&lt;=$E22),IF($F22="완료","●",IF($F22="진행중","▶",IF($F22="제외",".",IF($F22="보류","◇","■")))),"")</f>
        <v/>
      </c>
      <c r="P22" s="9">
        <f>IF(AND(9&gt;=$D22,9&lt;=$E22),IF($F22="완료","●",IF($F22="진행중","▶",IF($F22="제외",".",IF($F22="보류","◇","■")))),"")</f>
        <v/>
      </c>
      <c r="Q22" s="9">
        <f>IF(AND(10&gt;=$D22,10&lt;=$E22),IF($F22="완료","●",IF($F22="진행중","▶",IF($F22="제외",".",IF($F22="보류","◇","■")))),"")</f>
        <v/>
      </c>
      <c r="R22" s="9">
        <f>IF(AND(11&gt;=$D22,11&lt;=$E22),IF($F22="완료","●",IF($F22="진행중","▶",IF($F22="제외",".",IF($F22="보류","◇","■")))),"")</f>
        <v/>
      </c>
      <c r="S22" s="9">
        <f>IF(AND(12&gt;=$D22,12&lt;=$E22),IF($F22="완료","●",IF($F22="진행중","▶",IF($F22="제외",".",IF($F22="보류","◇","■")))),"")</f>
        <v/>
      </c>
      <c r="T22" s="9">
        <f>IF(AND(13&gt;=$D22,13&lt;=$E22),IF($F22="완료","●",IF($F22="진행중","▶",IF($F22="제외",".",IF($F22="보류","◇","■")))),"")</f>
        <v/>
      </c>
      <c r="U22" s="9">
        <f>IF(AND(14&gt;=$D22,14&lt;=$E22),IF($F22="완료","●",IF($F22="진행중","▶",IF($F22="제외",".",IF($F22="보류","◇","■")))),"")</f>
        <v/>
      </c>
      <c r="V22" s="9">
        <f>IF(AND(15&gt;=$D22,15&lt;=$E22),IF($F22="완료","●",IF($F22="진행중","▶",IF($F22="제외",".",IF($F22="보류","◇","■")))),"")</f>
        <v/>
      </c>
    </row>
    <row r="23" outlineLevel="1" ht="18" customHeight="1">
      <c r="A23" s="9">
        <f>WBS!A23</f>
        <v/>
      </c>
      <c r="B23" s="10">
        <f>WBS!C23</f>
        <v/>
      </c>
      <c r="C23" s="9">
        <f>WBS!K23</f>
        <v/>
      </c>
      <c r="D23" s="9">
        <f>WBS!G23</f>
        <v/>
      </c>
      <c r="E23" s="9">
        <f>WBS!H23</f>
        <v/>
      </c>
      <c r="F23" s="9">
        <f>WBS!O23</f>
        <v/>
      </c>
      <c r="G23" s="14">
        <f>WBS!P23</f>
        <v/>
      </c>
      <c r="H23" s="9">
        <f>IF(AND(1&gt;=$D23,1&lt;=$E23),IF($F23="완료","●",IF($F23="진행중","▶",IF($F23="제외",".",IF($F23="보류","◇","■")))),"")</f>
        <v/>
      </c>
      <c r="I23" s="9">
        <f>IF(AND(2&gt;=$D23,2&lt;=$E23),IF($F23="완료","●",IF($F23="진행중","▶",IF($F23="제외",".",IF($F23="보류","◇","■")))),"")</f>
        <v/>
      </c>
      <c r="J23" s="9">
        <f>IF(AND(3&gt;=$D23,3&lt;=$E23),IF($F23="완료","●",IF($F23="진행중","▶",IF($F23="제외",".",IF($F23="보류","◇","■")))),"")</f>
        <v/>
      </c>
      <c r="K23" s="9">
        <f>IF(AND(4&gt;=$D23,4&lt;=$E23),IF($F23="완료","●",IF($F23="진행중","▶",IF($F23="제외",".",IF($F23="보류","◇","■")))),"")</f>
        <v/>
      </c>
      <c r="L23" s="9">
        <f>IF(AND(5&gt;=$D23,5&lt;=$E23),IF($F23="완료","●",IF($F23="진행중","▶",IF($F23="제외",".",IF($F23="보류","◇","■")))),"")</f>
        <v/>
      </c>
      <c r="M23" s="9">
        <f>IF(AND(6&gt;=$D23,6&lt;=$E23),IF($F23="완료","●",IF($F23="진행중","▶",IF($F23="제외",".",IF($F23="보류","◇","■")))),"")</f>
        <v/>
      </c>
      <c r="N23" s="9">
        <f>IF(AND(7&gt;=$D23,7&lt;=$E23),IF($F23="완료","●",IF($F23="진행중","▶",IF($F23="제외",".",IF($F23="보류","◇","■")))),"")</f>
        <v/>
      </c>
      <c r="O23" s="9">
        <f>IF(AND(8&gt;=$D23,8&lt;=$E23),IF($F23="완료","●",IF($F23="진행중","▶",IF($F23="제외",".",IF($F23="보류","◇","■")))),"")</f>
        <v/>
      </c>
      <c r="P23" s="9">
        <f>IF(AND(9&gt;=$D23,9&lt;=$E23),IF($F23="완료","●",IF($F23="진행중","▶",IF($F23="제외",".",IF($F23="보류","◇","■")))),"")</f>
        <v/>
      </c>
      <c r="Q23" s="9">
        <f>IF(AND(10&gt;=$D23,10&lt;=$E23),IF($F23="완료","●",IF($F23="진행중","▶",IF($F23="제외",".",IF($F23="보류","◇","■")))),"")</f>
        <v/>
      </c>
      <c r="R23" s="9">
        <f>IF(AND(11&gt;=$D23,11&lt;=$E23),IF($F23="완료","●",IF($F23="진행중","▶",IF($F23="제외",".",IF($F23="보류","◇","■")))),"")</f>
        <v/>
      </c>
      <c r="S23" s="9">
        <f>IF(AND(12&gt;=$D23,12&lt;=$E23),IF($F23="완료","●",IF($F23="진행중","▶",IF($F23="제외",".",IF($F23="보류","◇","■")))),"")</f>
        <v/>
      </c>
      <c r="T23" s="9">
        <f>IF(AND(13&gt;=$D23,13&lt;=$E23),IF($F23="완료","●",IF($F23="진행중","▶",IF($F23="제외",".",IF($F23="보류","◇","■")))),"")</f>
        <v/>
      </c>
      <c r="U23" s="9">
        <f>IF(AND(14&gt;=$D23,14&lt;=$E23),IF($F23="완료","●",IF($F23="진행중","▶",IF($F23="제외",".",IF($F23="보류","◇","■")))),"")</f>
        <v/>
      </c>
      <c r="V23" s="9">
        <f>IF(AND(15&gt;=$D23,15&lt;=$E23),IF($F23="완료","●",IF($F23="진행중","▶",IF($F23="제외",".",IF($F23="보류","◇","■")))),"")</f>
        <v/>
      </c>
    </row>
    <row r="24" outlineLevel="1" ht="18" customHeight="1">
      <c r="A24" s="9">
        <f>WBS!A24</f>
        <v/>
      </c>
      <c r="B24" s="10">
        <f>WBS!C24</f>
        <v/>
      </c>
      <c r="C24" s="9">
        <f>WBS!K24</f>
        <v/>
      </c>
      <c r="D24" s="9">
        <f>WBS!G24</f>
        <v/>
      </c>
      <c r="E24" s="9">
        <f>WBS!H24</f>
        <v/>
      </c>
      <c r="F24" s="9">
        <f>WBS!O24</f>
        <v/>
      </c>
      <c r="G24" s="14">
        <f>WBS!P24</f>
        <v/>
      </c>
      <c r="H24" s="9">
        <f>IF(AND(1&gt;=$D24,1&lt;=$E24),IF($F24="완료","●",IF($F24="진행중","▶",IF($F24="제외",".",IF($F24="보류","◇","■")))),"")</f>
        <v/>
      </c>
      <c r="I24" s="9">
        <f>IF(AND(2&gt;=$D24,2&lt;=$E24),IF($F24="완료","●",IF($F24="진행중","▶",IF($F24="제외",".",IF($F24="보류","◇","■")))),"")</f>
        <v/>
      </c>
      <c r="J24" s="9">
        <f>IF(AND(3&gt;=$D24,3&lt;=$E24),IF($F24="완료","●",IF($F24="진행중","▶",IF($F24="제외",".",IF($F24="보류","◇","■")))),"")</f>
        <v/>
      </c>
      <c r="K24" s="9">
        <f>IF(AND(4&gt;=$D24,4&lt;=$E24),IF($F24="완료","●",IF($F24="진행중","▶",IF($F24="제외",".",IF($F24="보류","◇","■")))),"")</f>
        <v/>
      </c>
      <c r="L24" s="9">
        <f>IF(AND(5&gt;=$D24,5&lt;=$E24),IF($F24="완료","●",IF($F24="진행중","▶",IF($F24="제외",".",IF($F24="보류","◇","■")))),"")</f>
        <v/>
      </c>
      <c r="M24" s="9">
        <f>IF(AND(6&gt;=$D24,6&lt;=$E24),IF($F24="완료","●",IF($F24="진행중","▶",IF($F24="제외",".",IF($F24="보류","◇","■")))),"")</f>
        <v/>
      </c>
      <c r="N24" s="9">
        <f>IF(AND(7&gt;=$D24,7&lt;=$E24),IF($F24="완료","●",IF($F24="진행중","▶",IF($F24="제외",".",IF($F24="보류","◇","■")))),"")</f>
        <v/>
      </c>
      <c r="O24" s="9">
        <f>IF(AND(8&gt;=$D24,8&lt;=$E24),IF($F24="완료","●",IF($F24="진행중","▶",IF($F24="제외",".",IF($F24="보류","◇","■")))),"")</f>
        <v/>
      </c>
      <c r="P24" s="9">
        <f>IF(AND(9&gt;=$D24,9&lt;=$E24),IF($F24="완료","●",IF($F24="진행중","▶",IF($F24="제외",".",IF($F24="보류","◇","■")))),"")</f>
        <v/>
      </c>
      <c r="Q24" s="9">
        <f>IF(AND(10&gt;=$D24,10&lt;=$E24),IF($F24="완료","●",IF($F24="진행중","▶",IF($F24="제외",".",IF($F24="보류","◇","■")))),"")</f>
        <v/>
      </c>
      <c r="R24" s="9">
        <f>IF(AND(11&gt;=$D24,11&lt;=$E24),IF($F24="완료","●",IF($F24="진행중","▶",IF($F24="제외",".",IF($F24="보류","◇","■")))),"")</f>
        <v/>
      </c>
      <c r="S24" s="9">
        <f>IF(AND(12&gt;=$D24,12&lt;=$E24),IF($F24="완료","●",IF($F24="진행중","▶",IF($F24="제외",".",IF($F24="보류","◇","■")))),"")</f>
        <v/>
      </c>
      <c r="T24" s="9">
        <f>IF(AND(13&gt;=$D24,13&lt;=$E24),IF($F24="완료","●",IF($F24="진행중","▶",IF($F24="제외",".",IF($F24="보류","◇","■")))),"")</f>
        <v/>
      </c>
      <c r="U24" s="9">
        <f>IF(AND(14&gt;=$D24,14&lt;=$E24),IF($F24="완료","●",IF($F24="진행중","▶",IF($F24="제외",".",IF($F24="보류","◇","■")))),"")</f>
        <v/>
      </c>
      <c r="V24" s="9">
        <f>IF(AND(15&gt;=$D24,15&lt;=$E24),IF($F24="완료","●",IF($F24="진행중","▶",IF($F24="제외",".",IF($F24="보류","◇","■")))),"")</f>
        <v/>
      </c>
    </row>
    <row r="25" ht="18" customHeight="1">
      <c r="A25" s="32">
        <f>WBS!A25</f>
        <v/>
      </c>
      <c r="B25" s="33">
        <f>WBS!C25</f>
        <v/>
      </c>
      <c r="C25" s="32">
        <f>WBS!K25</f>
        <v/>
      </c>
      <c r="D25" s="32">
        <f>WBS!G25</f>
        <v/>
      </c>
      <c r="E25" s="32">
        <f>WBS!H25</f>
        <v/>
      </c>
      <c r="F25" s="32">
        <f>WBS!O25</f>
        <v/>
      </c>
      <c r="G25" s="34">
        <f>WBS!P25</f>
        <v/>
      </c>
      <c r="H25" s="9">
        <f>IF(AND(1&gt;=$D25,1&lt;=$E25),IF($F25="완료","●",IF($F25="진행중","▶",IF($F25="제외",".",IF($F25="보류","◇","■")))),"")</f>
        <v/>
      </c>
      <c r="I25" s="9">
        <f>IF(AND(2&gt;=$D25,2&lt;=$E25),IF($F25="완료","●",IF($F25="진행중","▶",IF($F25="제외",".",IF($F25="보류","◇","■")))),"")</f>
        <v/>
      </c>
      <c r="J25" s="9">
        <f>IF(AND(3&gt;=$D25,3&lt;=$E25),IF($F25="완료","●",IF($F25="진행중","▶",IF($F25="제외",".",IF($F25="보류","◇","■")))),"")</f>
        <v/>
      </c>
      <c r="K25" s="9">
        <f>IF(AND(4&gt;=$D25,4&lt;=$E25),IF($F25="완료","●",IF($F25="진행중","▶",IF($F25="제외",".",IF($F25="보류","◇","■")))),"")</f>
        <v/>
      </c>
      <c r="L25" s="9">
        <f>IF(AND(5&gt;=$D25,5&lt;=$E25),IF($F25="완료","●",IF($F25="진행중","▶",IF($F25="제외",".",IF($F25="보류","◇","■")))),"")</f>
        <v/>
      </c>
      <c r="M25" s="9">
        <f>IF(AND(6&gt;=$D25,6&lt;=$E25),IF($F25="완료","●",IF($F25="진행중","▶",IF($F25="제외",".",IF($F25="보류","◇","■")))),"")</f>
        <v/>
      </c>
      <c r="N25" s="9">
        <f>IF(AND(7&gt;=$D25,7&lt;=$E25),IF($F25="완료","●",IF($F25="진행중","▶",IF($F25="제외",".",IF($F25="보류","◇","■")))),"")</f>
        <v/>
      </c>
      <c r="O25" s="9">
        <f>IF(AND(8&gt;=$D25,8&lt;=$E25),IF($F25="완료","●",IF($F25="진행중","▶",IF($F25="제외",".",IF($F25="보류","◇","■")))),"")</f>
        <v/>
      </c>
      <c r="P25" s="9">
        <f>IF(AND(9&gt;=$D25,9&lt;=$E25),IF($F25="완료","●",IF($F25="진행중","▶",IF($F25="제외",".",IF($F25="보류","◇","■")))),"")</f>
        <v/>
      </c>
      <c r="Q25" s="9">
        <f>IF(AND(10&gt;=$D25,10&lt;=$E25),IF($F25="완료","●",IF($F25="진행중","▶",IF($F25="제외",".",IF($F25="보류","◇","■")))),"")</f>
        <v/>
      </c>
      <c r="R25" s="9">
        <f>IF(AND(11&gt;=$D25,11&lt;=$E25),IF($F25="완료","●",IF($F25="진행중","▶",IF($F25="제외",".",IF($F25="보류","◇","■")))),"")</f>
        <v/>
      </c>
      <c r="S25" s="9">
        <f>IF(AND(12&gt;=$D25,12&lt;=$E25),IF($F25="완료","●",IF($F25="진행중","▶",IF($F25="제외",".",IF($F25="보류","◇","■")))),"")</f>
        <v/>
      </c>
      <c r="T25" s="9">
        <f>IF(AND(13&gt;=$D25,13&lt;=$E25),IF($F25="완료","●",IF($F25="진행중","▶",IF($F25="제외",".",IF($F25="보류","◇","■")))),"")</f>
        <v/>
      </c>
      <c r="U25" s="9">
        <f>IF(AND(14&gt;=$D25,14&lt;=$E25),IF($F25="완료","●",IF($F25="진행중","▶",IF($F25="제외",".",IF($F25="보류","◇","■")))),"")</f>
        <v/>
      </c>
      <c r="V25" s="9">
        <f>IF(AND(15&gt;=$D25,15&lt;=$E25),IF($F25="완료","●",IF($F25="진행중","▶",IF($F25="제외",".",IF($F25="보류","◇","■")))),"")</f>
        <v/>
      </c>
    </row>
    <row r="26" outlineLevel="1" ht="18" customHeight="1">
      <c r="A26" s="35">
        <f>WBS!A26</f>
        <v/>
      </c>
      <c r="B26" s="36">
        <f>WBS!C26</f>
        <v/>
      </c>
      <c r="C26" s="35">
        <f>WBS!K26</f>
        <v/>
      </c>
      <c r="D26" s="35">
        <f>WBS!G26</f>
        <v/>
      </c>
      <c r="E26" s="35">
        <f>WBS!H26</f>
        <v/>
      </c>
      <c r="F26" s="35">
        <f>WBS!O26</f>
        <v/>
      </c>
      <c r="G26" s="37">
        <f>WBS!P26</f>
        <v/>
      </c>
      <c r="H26" s="9">
        <f>IF(AND(1&gt;=$D26,1&lt;=$E26),IF($F26="완료","●",IF($F26="진행중","▶",IF($F26="제외",".",IF($F26="보류","◇","■")))),"")</f>
        <v/>
      </c>
      <c r="I26" s="9">
        <f>IF(AND(2&gt;=$D26,2&lt;=$E26),IF($F26="완료","●",IF($F26="진행중","▶",IF($F26="제외",".",IF($F26="보류","◇","■")))),"")</f>
        <v/>
      </c>
      <c r="J26" s="9">
        <f>IF(AND(3&gt;=$D26,3&lt;=$E26),IF($F26="완료","●",IF($F26="진행중","▶",IF($F26="제외",".",IF($F26="보류","◇","■")))),"")</f>
        <v/>
      </c>
      <c r="K26" s="9">
        <f>IF(AND(4&gt;=$D26,4&lt;=$E26),IF($F26="완료","●",IF($F26="진행중","▶",IF($F26="제외",".",IF($F26="보류","◇","■")))),"")</f>
        <v/>
      </c>
      <c r="L26" s="9">
        <f>IF(AND(5&gt;=$D26,5&lt;=$E26),IF($F26="완료","●",IF($F26="진행중","▶",IF($F26="제외",".",IF($F26="보류","◇","■")))),"")</f>
        <v/>
      </c>
      <c r="M26" s="9">
        <f>IF(AND(6&gt;=$D26,6&lt;=$E26),IF($F26="완료","●",IF($F26="진행중","▶",IF($F26="제외",".",IF($F26="보류","◇","■")))),"")</f>
        <v/>
      </c>
      <c r="N26" s="9">
        <f>IF(AND(7&gt;=$D26,7&lt;=$E26),IF($F26="완료","●",IF($F26="진행중","▶",IF($F26="제외",".",IF($F26="보류","◇","■")))),"")</f>
        <v/>
      </c>
      <c r="O26" s="9">
        <f>IF(AND(8&gt;=$D26,8&lt;=$E26),IF($F26="완료","●",IF($F26="진행중","▶",IF($F26="제외",".",IF($F26="보류","◇","■")))),"")</f>
        <v/>
      </c>
      <c r="P26" s="9">
        <f>IF(AND(9&gt;=$D26,9&lt;=$E26),IF($F26="완료","●",IF($F26="진행중","▶",IF($F26="제외",".",IF($F26="보류","◇","■")))),"")</f>
        <v/>
      </c>
      <c r="Q26" s="9">
        <f>IF(AND(10&gt;=$D26,10&lt;=$E26),IF($F26="완료","●",IF($F26="진행중","▶",IF($F26="제외",".",IF($F26="보류","◇","■")))),"")</f>
        <v/>
      </c>
      <c r="R26" s="9">
        <f>IF(AND(11&gt;=$D26,11&lt;=$E26),IF($F26="완료","●",IF($F26="진행중","▶",IF($F26="제외",".",IF($F26="보류","◇","■")))),"")</f>
        <v/>
      </c>
      <c r="S26" s="9">
        <f>IF(AND(12&gt;=$D26,12&lt;=$E26),IF($F26="완료","●",IF($F26="진행중","▶",IF($F26="제외",".",IF($F26="보류","◇","■")))),"")</f>
        <v/>
      </c>
      <c r="T26" s="9">
        <f>IF(AND(13&gt;=$D26,13&lt;=$E26),IF($F26="완료","●",IF($F26="진행중","▶",IF($F26="제외",".",IF($F26="보류","◇","■")))),"")</f>
        <v/>
      </c>
      <c r="U26" s="9">
        <f>IF(AND(14&gt;=$D26,14&lt;=$E26),IF($F26="완료","●",IF($F26="진행중","▶",IF($F26="제외",".",IF($F26="보류","◇","■")))),"")</f>
        <v/>
      </c>
      <c r="V26" s="9">
        <f>IF(AND(15&gt;=$D26,15&lt;=$E26),IF($F26="완료","●",IF($F26="진행중","▶",IF($F26="제외",".",IF($F26="보류","◇","■")))),"")</f>
        <v/>
      </c>
    </row>
    <row r="27" outlineLevel="2" ht="18" customHeight="1">
      <c r="A27" s="9">
        <f>WBS!A27</f>
        <v/>
      </c>
      <c r="B27" s="21">
        <f>WBS!C27</f>
        <v/>
      </c>
      <c r="C27" s="9">
        <f>WBS!K27</f>
        <v/>
      </c>
      <c r="D27" s="9">
        <f>WBS!G27</f>
        <v/>
      </c>
      <c r="E27" s="9">
        <f>WBS!H27</f>
        <v/>
      </c>
      <c r="F27" s="9">
        <f>WBS!O27</f>
        <v/>
      </c>
      <c r="G27" s="14">
        <f>WBS!P27</f>
        <v/>
      </c>
      <c r="H27" s="9">
        <f>IF(AND(1&gt;=$D27,1&lt;=$E27),IF($F27="완료","●",IF($F27="진행중","▶",IF($F27="제외",".",IF($F27="보류","◇","■")))),"")</f>
        <v/>
      </c>
      <c r="I27" s="9">
        <f>IF(AND(2&gt;=$D27,2&lt;=$E27),IF($F27="완료","●",IF($F27="진행중","▶",IF($F27="제외",".",IF($F27="보류","◇","■")))),"")</f>
        <v/>
      </c>
      <c r="J27" s="9">
        <f>IF(AND(3&gt;=$D27,3&lt;=$E27),IF($F27="완료","●",IF($F27="진행중","▶",IF($F27="제외",".",IF($F27="보류","◇","■")))),"")</f>
        <v/>
      </c>
      <c r="K27" s="9">
        <f>IF(AND(4&gt;=$D27,4&lt;=$E27),IF($F27="완료","●",IF($F27="진행중","▶",IF($F27="제외",".",IF($F27="보류","◇","■")))),"")</f>
        <v/>
      </c>
      <c r="L27" s="9">
        <f>IF(AND(5&gt;=$D27,5&lt;=$E27),IF($F27="완료","●",IF($F27="진행중","▶",IF($F27="제외",".",IF($F27="보류","◇","■")))),"")</f>
        <v/>
      </c>
      <c r="M27" s="9">
        <f>IF(AND(6&gt;=$D27,6&lt;=$E27),IF($F27="완료","●",IF($F27="진행중","▶",IF($F27="제외",".",IF($F27="보류","◇","■")))),"")</f>
        <v/>
      </c>
      <c r="N27" s="9">
        <f>IF(AND(7&gt;=$D27,7&lt;=$E27),IF($F27="완료","●",IF($F27="진행중","▶",IF($F27="제외",".",IF($F27="보류","◇","■")))),"")</f>
        <v/>
      </c>
      <c r="O27" s="9">
        <f>IF(AND(8&gt;=$D27,8&lt;=$E27),IF($F27="완료","●",IF($F27="진행중","▶",IF($F27="제외",".",IF($F27="보류","◇","■")))),"")</f>
        <v/>
      </c>
      <c r="P27" s="9">
        <f>IF(AND(9&gt;=$D27,9&lt;=$E27),IF($F27="완료","●",IF($F27="진행중","▶",IF($F27="제외",".",IF($F27="보류","◇","■")))),"")</f>
        <v/>
      </c>
      <c r="Q27" s="9">
        <f>IF(AND(10&gt;=$D27,10&lt;=$E27),IF($F27="완료","●",IF($F27="진행중","▶",IF($F27="제외",".",IF($F27="보류","◇","■")))),"")</f>
        <v/>
      </c>
      <c r="R27" s="9">
        <f>IF(AND(11&gt;=$D27,11&lt;=$E27),IF($F27="완료","●",IF($F27="진행중","▶",IF($F27="제외",".",IF($F27="보류","◇","■")))),"")</f>
        <v/>
      </c>
      <c r="S27" s="9">
        <f>IF(AND(12&gt;=$D27,12&lt;=$E27),IF($F27="완료","●",IF($F27="진행중","▶",IF($F27="제외",".",IF($F27="보류","◇","■")))),"")</f>
        <v/>
      </c>
      <c r="T27" s="9">
        <f>IF(AND(13&gt;=$D27,13&lt;=$E27),IF($F27="완료","●",IF($F27="진행중","▶",IF($F27="제외",".",IF($F27="보류","◇","■")))),"")</f>
        <v/>
      </c>
      <c r="U27" s="9">
        <f>IF(AND(14&gt;=$D27,14&lt;=$E27),IF($F27="완료","●",IF($F27="진행중","▶",IF($F27="제외",".",IF($F27="보류","◇","■")))),"")</f>
        <v/>
      </c>
      <c r="V27" s="9">
        <f>IF(AND(15&gt;=$D27,15&lt;=$E27),IF($F27="완료","●",IF($F27="진행중","▶",IF($F27="제외",".",IF($F27="보류","◇","■")))),"")</f>
        <v/>
      </c>
    </row>
    <row r="28" outlineLevel="2" ht="18" customHeight="1">
      <c r="A28" s="9">
        <f>WBS!A28</f>
        <v/>
      </c>
      <c r="B28" s="21">
        <f>WBS!C28</f>
        <v/>
      </c>
      <c r="C28" s="9">
        <f>WBS!K28</f>
        <v/>
      </c>
      <c r="D28" s="9">
        <f>WBS!G28</f>
        <v/>
      </c>
      <c r="E28" s="9">
        <f>WBS!H28</f>
        <v/>
      </c>
      <c r="F28" s="9">
        <f>WBS!O28</f>
        <v/>
      </c>
      <c r="G28" s="14">
        <f>WBS!P28</f>
        <v/>
      </c>
      <c r="H28" s="9">
        <f>IF(AND(1&gt;=$D28,1&lt;=$E28),IF($F28="완료","●",IF($F28="진행중","▶",IF($F28="제외",".",IF($F28="보류","◇","■")))),"")</f>
        <v/>
      </c>
      <c r="I28" s="9">
        <f>IF(AND(2&gt;=$D28,2&lt;=$E28),IF($F28="완료","●",IF($F28="진행중","▶",IF($F28="제외",".",IF($F28="보류","◇","■")))),"")</f>
        <v/>
      </c>
      <c r="J28" s="9">
        <f>IF(AND(3&gt;=$D28,3&lt;=$E28),IF($F28="완료","●",IF($F28="진행중","▶",IF($F28="제외",".",IF($F28="보류","◇","■")))),"")</f>
        <v/>
      </c>
      <c r="K28" s="9">
        <f>IF(AND(4&gt;=$D28,4&lt;=$E28),IF($F28="완료","●",IF($F28="진행중","▶",IF($F28="제외",".",IF($F28="보류","◇","■")))),"")</f>
        <v/>
      </c>
      <c r="L28" s="9">
        <f>IF(AND(5&gt;=$D28,5&lt;=$E28),IF($F28="완료","●",IF($F28="진행중","▶",IF($F28="제외",".",IF($F28="보류","◇","■")))),"")</f>
        <v/>
      </c>
      <c r="M28" s="9">
        <f>IF(AND(6&gt;=$D28,6&lt;=$E28),IF($F28="완료","●",IF($F28="진행중","▶",IF($F28="제외",".",IF($F28="보류","◇","■")))),"")</f>
        <v/>
      </c>
      <c r="N28" s="9">
        <f>IF(AND(7&gt;=$D28,7&lt;=$E28),IF($F28="완료","●",IF($F28="진행중","▶",IF($F28="제외",".",IF($F28="보류","◇","■")))),"")</f>
        <v/>
      </c>
      <c r="O28" s="9">
        <f>IF(AND(8&gt;=$D28,8&lt;=$E28),IF($F28="완료","●",IF($F28="진행중","▶",IF($F28="제외",".",IF($F28="보류","◇","■")))),"")</f>
        <v/>
      </c>
      <c r="P28" s="9">
        <f>IF(AND(9&gt;=$D28,9&lt;=$E28),IF($F28="완료","●",IF($F28="진행중","▶",IF($F28="제외",".",IF($F28="보류","◇","■")))),"")</f>
        <v/>
      </c>
      <c r="Q28" s="9">
        <f>IF(AND(10&gt;=$D28,10&lt;=$E28),IF($F28="완료","●",IF($F28="진행중","▶",IF($F28="제외",".",IF($F28="보류","◇","■")))),"")</f>
        <v/>
      </c>
      <c r="R28" s="9">
        <f>IF(AND(11&gt;=$D28,11&lt;=$E28),IF($F28="완료","●",IF($F28="진행중","▶",IF($F28="제외",".",IF($F28="보류","◇","■")))),"")</f>
        <v/>
      </c>
      <c r="S28" s="9">
        <f>IF(AND(12&gt;=$D28,12&lt;=$E28),IF($F28="완료","●",IF($F28="진행중","▶",IF($F28="제외",".",IF($F28="보류","◇","■")))),"")</f>
        <v/>
      </c>
      <c r="T28" s="9">
        <f>IF(AND(13&gt;=$D28,13&lt;=$E28),IF($F28="완료","●",IF($F28="진행중","▶",IF($F28="제외",".",IF($F28="보류","◇","■")))),"")</f>
        <v/>
      </c>
      <c r="U28" s="9">
        <f>IF(AND(14&gt;=$D28,14&lt;=$E28),IF($F28="완료","●",IF($F28="진행중","▶",IF($F28="제외",".",IF($F28="보류","◇","■")))),"")</f>
        <v/>
      </c>
      <c r="V28" s="9">
        <f>IF(AND(15&gt;=$D28,15&lt;=$E28),IF($F28="완료","●",IF($F28="진행중","▶",IF($F28="제외",".",IF($F28="보류","◇","■")))),"")</f>
        <v/>
      </c>
    </row>
    <row r="29" outlineLevel="2" ht="18" customHeight="1">
      <c r="A29" s="9">
        <f>WBS!A29</f>
        <v/>
      </c>
      <c r="B29" s="21">
        <f>WBS!C29</f>
        <v/>
      </c>
      <c r="C29" s="9">
        <f>WBS!K29</f>
        <v/>
      </c>
      <c r="D29" s="9">
        <f>WBS!G29</f>
        <v/>
      </c>
      <c r="E29" s="9">
        <f>WBS!H29</f>
        <v/>
      </c>
      <c r="F29" s="9">
        <f>WBS!O29</f>
        <v/>
      </c>
      <c r="G29" s="14">
        <f>WBS!P29</f>
        <v/>
      </c>
      <c r="H29" s="9">
        <f>IF(AND(1&gt;=$D29,1&lt;=$E29),IF($F29="완료","●",IF($F29="진행중","▶",IF($F29="제외",".",IF($F29="보류","◇","■")))),"")</f>
        <v/>
      </c>
      <c r="I29" s="9">
        <f>IF(AND(2&gt;=$D29,2&lt;=$E29),IF($F29="완료","●",IF($F29="진행중","▶",IF($F29="제외",".",IF($F29="보류","◇","■")))),"")</f>
        <v/>
      </c>
      <c r="J29" s="9">
        <f>IF(AND(3&gt;=$D29,3&lt;=$E29),IF($F29="완료","●",IF($F29="진행중","▶",IF($F29="제외",".",IF($F29="보류","◇","■")))),"")</f>
        <v/>
      </c>
      <c r="K29" s="9">
        <f>IF(AND(4&gt;=$D29,4&lt;=$E29),IF($F29="완료","●",IF($F29="진행중","▶",IF($F29="제외",".",IF($F29="보류","◇","■")))),"")</f>
        <v/>
      </c>
      <c r="L29" s="9">
        <f>IF(AND(5&gt;=$D29,5&lt;=$E29),IF($F29="완료","●",IF($F29="진행중","▶",IF($F29="제외",".",IF($F29="보류","◇","■")))),"")</f>
        <v/>
      </c>
      <c r="M29" s="9">
        <f>IF(AND(6&gt;=$D29,6&lt;=$E29),IF($F29="완료","●",IF($F29="진행중","▶",IF($F29="제외",".",IF($F29="보류","◇","■")))),"")</f>
        <v/>
      </c>
      <c r="N29" s="9">
        <f>IF(AND(7&gt;=$D29,7&lt;=$E29),IF($F29="완료","●",IF($F29="진행중","▶",IF($F29="제외",".",IF($F29="보류","◇","■")))),"")</f>
        <v/>
      </c>
      <c r="O29" s="9">
        <f>IF(AND(8&gt;=$D29,8&lt;=$E29),IF($F29="완료","●",IF($F29="진행중","▶",IF($F29="제외",".",IF($F29="보류","◇","■")))),"")</f>
        <v/>
      </c>
      <c r="P29" s="9">
        <f>IF(AND(9&gt;=$D29,9&lt;=$E29),IF($F29="완료","●",IF($F29="진행중","▶",IF($F29="제외",".",IF($F29="보류","◇","■")))),"")</f>
        <v/>
      </c>
      <c r="Q29" s="9">
        <f>IF(AND(10&gt;=$D29,10&lt;=$E29),IF($F29="완료","●",IF($F29="진행중","▶",IF($F29="제외",".",IF($F29="보류","◇","■")))),"")</f>
        <v/>
      </c>
      <c r="R29" s="9">
        <f>IF(AND(11&gt;=$D29,11&lt;=$E29),IF($F29="완료","●",IF($F29="진행중","▶",IF($F29="제외",".",IF($F29="보류","◇","■")))),"")</f>
        <v/>
      </c>
      <c r="S29" s="9">
        <f>IF(AND(12&gt;=$D29,12&lt;=$E29),IF($F29="완료","●",IF($F29="진행중","▶",IF($F29="제외",".",IF($F29="보류","◇","■")))),"")</f>
        <v/>
      </c>
      <c r="T29" s="9">
        <f>IF(AND(13&gt;=$D29,13&lt;=$E29),IF($F29="완료","●",IF($F29="진행중","▶",IF($F29="제외",".",IF($F29="보류","◇","■")))),"")</f>
        <v/>
      </c>
      <c r="U29" s="9">
        <f>IF(AND(14&gt;=$D29,14&lt;=$E29),IF($F29="완료","●",IF($F29="진행중","▶",IF($F29="제외",".",IF($F29="보류","◇","■")))),"")</f>
        <v/>
      </c>
      <c r="V29" s="9">
        <f>IF(AND(15&gt;=$D29,15&lt;=$E29),IF($F29="완료","●",IF($F29="진행중","▶",IF($F29="제외",".",IF($F29="보류","◇","■")))),"")</f>
        <v/>
      </c>
    </row>
    <row r="30" outlineLevel="2" ht="18" customHeight="1">
      <c r="A30" s="9">
        <f>WBS!A30</f>
        <v/>
      </c>
      <c r="B30" s="21">
        <f>WBS!C30</f>
        <v/>
      </c>
      <c r="C30" s="9">
        <f>WBS!K30</f>
        <v/>
      </c>
      <c r="D30" s="9">
        <f>WBS!G30</f>
        <v/>
      </c>
      <c r="E30" s="9">
        <f>WBS!H30</f>
        <v/>
      </c>
      <c r="F30" s="9">
        <f>WBS!O30</f>
        <v/>
      </c>
      <c r="G30" s="14">
        <f>WBS!P30</f>
        <v/>
      </c>
      <c r="H30" s="9">
        <f>IF(AND(1&gt;=$D30,1&lt;=$E30),IF($F30="완료","●",IF($F30="진행중","▶",IF($F30="제외",".",IF($F30="보류","◇","■")))),"")</f>
        <v/>
      </c>
      <c r="I30" s="9">
        <f>IF(AND(2&gt;=$D30,2&lt;=$E30),IF($F30="완료","●",IF($F30="진행중","▶",IF($F30="제외",".",IF($F30="보류","◇","■")))),"")</f>
        <v/>
      </c>
      <c r="J30" s="9">
        <f>IF(AND(3&gt;=$D30,3&lt;=$E30),IF($F30="완료","●",IF($F30="진행중","▶",IF($F30="제외",".",IF($F30="보류","◇","■")))),"")</f>
        <v/>
      </c>
      <c r="K30" s="9">
        <f>IF(AND(4&gt;=$D30,4&lt;=$E30),IF($F30="완료","●",IF($F30="진행중","▶",IF($F30="제외",".",IF($F30="보류","◇","■")))),"")</f>
        <v/>
      </c>
      <c r="L30" s="9">
        <f>IF(AND(5&gt;=$D30,5&lt;=$E30),IF($F30="완료","●",IF($F30="진행중","▶",IF($F30="제외",".",IF($F30="보류","◇","■")))),"")</f>
        <v/>
      </c>
      <c r="M30" s="9">
        <f>IF(AND(6&gt;=$D30,6&lt;=$E30),IF($F30="완료","●",IF($F30="진행중","▶",IF($F30="제외",".",IF($F30="보류","◇","■")))),"")</f>
        <v/>
      </c>
      <c r="N30" s="9">
        <f>IF(AND(7&gt;=$D30,7&lt;=$E30),IF($F30="완료","●",IF($F30="진행중","▶",IF($F30="제외",".",IF($F30="보류","◇","■")))),"")</f>
        <v/>
      </c>
      <c r="O30" s="9">
        <f>IF(AND(8&gt;=$D30,8&lt;=$E30),IF($F30="완료","●",IF($F30="진행중","▶",IF($F30="제외",".",IF($F30="보류","◇","■")))),"")</f>
        <v/>
      </c>
      <c r="P30" s="9">
        <f>IF(AND(9&gt;=$D30,9&lt;=$E30),IF($F30="완료","●",IF($F30="진행중","▶",IF($F30="제외",".",IF($F30="보류","◇","■")))),"")</f>
        <v/>
      </c>
      <c r="Q30" s="9">
        <f>IF(AND(10&gt;=$D30,10&lt;=$E30),IF($F30="완료","●",IF($F30="진행중","▶",IF($F30="제외",".",IF($F30="보류","◇","■")))),"")</f>
        <v/>
      </c>
      <c r="R30" s="9">
        <f>IF(AND(11&gt;=$D30,11&lt;=$E30),IF($F30="완료","●",IF($F30="진행중","▶",IF($F30="제외",".",IF($F30="보류","◇","■")))),"")</f>
        <v/>
      </c>
      <c r="S30" s="9">
        <f>IF(AND(12&gt;=$D30,12&lt;=$E30),IF($F30="완료","●",IF($F30="진행중","▶",IF($F30="제외",".",IF($F30="보류","◇","■")))),"")</f>
        <v/>
      </c>
      <c r="T30" s="9">
        <f>IF(AND(13&gt;=$D30,13&lt;=$E30),IF($F30="완료","●",IF($F30="진행중","▶",IF($F30="제외",".",IF($F30="보류","◇","■")))),"")</f>
        <v/>
      </c>
      <c r="U30" s="9">
        <f>IF(AND(14&gt;=$D30,14&lt;=$E30),IF($F30="완료","●",IF($F30="진행중","▶",IF($F30="제외",".",IF($F30="보류","◇","■")))),"")</f>
        <v/>
      </c>
      <c r="V30" s="9">
        <f>IF(AND(15&gt;=$D30,15&lt;=$E30),IF($F30="완료","●",IF($F30="진행중","▶",IF($F30="제외",".",IF($F30="보류","◇","■")))),"")</f>
        <v/>
      </c>
    </row>
    <row r="31" outlineLevel="2" ht="18" customHeight="1">
      <c r="A31" s="9">
        <f>WBS!A31</f>
        <v/>
      </c>
      <c r="B31" s="21">
        <f>WBS!C31</f>
        <v/>
      </c>
      <c r="C31" s="9">
        <f>WBS!K31</f>
        <v/>
      </c>
      <c r="D31" s="9">
        <f>WBS!G31</f>
        <v/>
      </c>
      <c r="E31" s="9">
        <f>WBS!H31</f>
        <v/>
      </c>
      <c r="F31" s="9">
        <f>WBS!O31</f>
        <v/>
      </c>
      <c r="G31" s="14">
        <f>WBS!P31</f>
        <v/>
      </c>
      <c r="H31" s="9">
        <f>IF(AND(1&gt;=$D31,1&lt;=$E31),IF($F31="완료","●",IF($F31="진행중","▶",IF($F31="제외",".",IF($F31="보류","◇","■")))),"")</f>
        <v/>
      </c>
      <c r="I31" s="9">
        <f>IF(AND(2&gt;=$D31,2&lt;=$E31),IF($F31="완료","●",IF($F31="진행중","▶",IF($F31="제외",".",IF($F31="보류","◇","■")))),"")</f>
        <v/>
      </c>
      <c r="J31" s="9">
        <f>IF(AND(3&gt;=$D31,3&lt;=$E31),IF($F31="완료","●",IF($F31="진행중","▶",IF($F31="제외",".",IF($F31="보류","◇","■")))),"")</f>
        <v/>
      </c>
      <c r="K31" s="9">
        <f>IF(AND(4&gt;=$D31,4&lt;=$E31),IF($F31="완료","●",IF($F31="진행중","▶",IF($F31="제외",".",IF($F31="보류","◇","■")))),"")</f>
        <v/>
      </c>
      <c r="L31" s="9">
        <f>IF(AND(5&gt;=$D31,5&lt;=$E31),IF($F31="완료","●",IF($F31="진행중","▶",IF($F31="제외",".",IF($F31="보류","◇","■")))),"")</f>
        <v/>
      </c>
      <c r="M31" s="9">
        <f>IF(AND(6&gt;=$D31,6&lt;=$E31),IF($F31="완료","●",IF($F31="진행중","▶",IF($F31="제외",".",IF($F31="보류","◇","■")))),"")</f>
        <v/>
      </c>
      <c r="N31" s="9">
        <f>IF(AND(7&gt;=$D31,7&lt;=$E31),IF($F31="완료","●",IF($F31="진행중","▶",IF($F31="제외",".",IF($F31="보류","◇","■")))),"")</f>
        <v/>
      </c>
      <c r="O31" s="9">
        <f>IF(AND(8&gt;=$D31,8&lt;=$E31),IF($F31="완료","●",IF($F31="진행중","▶",IF($F31="제외",".",IF($F31="보류","◇","■")))),"")</f>
        <v/>
      </c>
      <c r="P31" s="9">
        <f>IF(AND(9&gt;=$D31,9&lt;=$E31),IF($F31="완료","●",IF($F31="진행중","▶",IF($F31="제외",".",IF($F31="보류","◇","■")))),"")</f>
        <v/>
      </c>
      <c r="Q31" s="9">
        <f>IF(AND(10&gt;=$D31,10&lt;=$E31),IF($F31="완료","●",IF($F31="진행중","▶",IF($F31="제외",".",IF($F31="보류","◇","■")))),"")</f>
        <v/>
      </c>
      <c r="R31" s="9">
        <f>IF(AND(11&gt;=$D31,11&lt;=$E31),IF($F31="완료","●",IF($F31="진행중","▶",IF($F31="제외",".",IF($F31="보류","◇","■")))),"")</f>
        <v/>
      </c>
      <c r="S31" s="9">
        <f>IF(AND(12&gt;=$D31,12&lt;=$E31),IF($F31="완료","●",IF($F31="진행중","▶",IF($F31="제외",".",IF($F31="보류","◇","■")))),"")</f>
        <v/>
      </c>
      <c r="T31" s="9">
        <f>IF(AND(13&gt;=$D31,13&lt;=$E31),IF($F31="완료","●",IF($F31="진행중","▶",IF($F31="제외",".",IF($F31="보류","◇","■")))),"")</f>
        <v/>
      </c>
      <c r="U31" s="9">
        <f>IF(AND(14&gt;=$D31,14&lt;=$E31),IF($F31="완료","●",IF($F31="진행중","▶",IF($F31="제외",".",IF($F31="보류","◇","■")))),"")</f>
        <v/>
      </c>
      <c r="V31" s="9">
        <f>IF(AND(15&gt;=$D31,15&lt;=$E31),IF($F31="완료","●",IF($F31="진행중","▶",IF($F31="제외",".",IF($F31="보류","◇","■")))),"")</f>
        <v/>
      </c>
    </row>
    <row r="32" outlineLevel="2" ht="18" customHeight="1">
      <c r="A32" s="9">
        <f>WBS!A32</f>
        <v/>
      </c>
      <c r="B32" s="21">
        <f>WBS!C32</f>
        <v/>
      </c>
      <c r="C32" s="9">
        <f>WBS!K32</f>
        <v/>
      </c>
      <c r="D32" s="9">
        <f>WBS!G32</f>
        <v/>
      </c>
      <c r="E32" s="9">
        <f>WBS!H32</f>
        <v/>
      </c>
      <c r="F32" s="9">
        <f>WBS!O32</f>
        <v/>
      </c>
      <c r="G32" s="14">
        <f>WBS!P32</f>
        <v/>
      </c>
      <c r="H32" s="9">
        <f>IF(AND(1&gt;=$D32,1&lt;=$E32),IF($F32="완료","●",IF($F32="진행중","▶",IF($F32="제외",".",IF($F32="보류","◇","■")))),"")</f>
        <v/>
      </c>
      <c r="I32" s="9">
        <f>IF(AND(2&gt;=$D32,2&lt;=$E32),IF($F32="완료","●",IF($F32="진행중","▶",IF($F32="제외",".",IF($F32="보류","◇","■")))),"")</f>
        <v/>
      </c>
      <c r="J32" s="9">
        <f>IF(AND(3&gt;=$D32,3&lt;=$E32),IF($F32="완료","●",IF($F32="진행중","▶",IF($F32="제외",".",IF($F32="보류","◇","■")))),"")</f>
        <v/>
      </c>
      <c r="K32" s="9">
        <f>IF(AND(4&gt;=$D32,4&lt;=$E32),IF($F32="완료","●",IF($F32="진행중","▶",IF($F32="제외",".",IF($F32="보류","◇","■")))),"")</f>
        <v/>
      </c>
      <c r="L32" s="9">
        <f>IF(AND(5&gt;=$D32,5&lt;=$E32),IF($F32="완료","●",IF($F32="진행중","▶",IF($F32="제외",".",IF($F32="보류","◇","■")))),"")</f>
        <v/>
      </c>
      <c r="M32" s="9">
        <f>IF(AND(6&gt;=$D32,6&lt;=$E32),IF($F32="완료","●",IF($F32="진행중","▶",IF($F32="제외",".",IF($F32="보류","◇","■")))),"")</f>
        <v/>
      </c>
      <c r="N32" s="9">
        <f>IF(AND(7&gt;=$D32,7&lt;=$E32),IF($F32="완료","●",IF($F32="진행중","▶",IF($F32="제외",".",IF($F32="보류","◇","■")))),"")</f>
        <v/>
      </c>
      <c r="O32" s="9">
        <f>IF(AND(8&gt;=$D32,8&lt;=$E32),IF($F32="완료","●",IF($F32="진행중","▶",IF($F32="제외",".",IF($F32="보류","◇","■")))),"")</f>
        <v/>
      </c>
      <c r="P32" s="9">
        <f>IF(AND(9&gt;=$D32,9&lt;=$E32),IF($F32="완료","●",IF($F32="진행중","▶",IF($F32="제외",".",IF($F32="보류","◇","■")))),"")</f>
        <v/>
      </c>
      <c r="Q32" s="9">
        <f>IF(AND(10&gt;=$D32,10&lt;=$E32),IF($F32="완료","●",IF($F32="진행중","▶",IF($F32="제외",".",IF($F32="보류","◇","■")))),"")</f>
        <v/>
      </c>
      <c r="R32" s="9">
        <f>IF(AND(11&gt;=$D32,11&lt;=$E32),IF($F32="완료","●",IF($F32="진행중","▶",IF($F32="제외",".",IF($F32="보류","◇","■")))),"")</f>
        <v/>
      </c>
      <c r="S32" s="9">
        <f>IF(AND(12&gt;=$D32,12&lt;=$E32),IF($F32="완료","●",IF($F32="진행중","▶",IF($F32="제외",".",IF($F32="보류","◇","■")))),"")</f>
        <v/>
      </c>
      <c r="T32" s="9">
        <f>IF(AND(13&gt;=$D32,13&lt;=$E32),IF($F32="완료","●",IF($F32="진행중","▶",IF($F32="제외",".",IF($F32="보류","◇","■")))),"")</f>
        <v/>
      </c>
      <c r="U32" s="9">
        <f>IF(AND(14&gt;=$D32,14&lt;=$E32),IF($F32="완료","●",IF($F32="진행중","▶",IF($F32="제외",".",IF($F32="보류","◇","■")))),"")</f>
        <v/>
      </c>
      <c r="V32" s="9">
        <f>IF(AND(15&gt;=$D32,15&lt;=$E32),IF($F32="완료","●",IF($F32="진행중","▶",IF($F32="제외",".",IF($F32="보류","◇","■")))),"")</f>
        <v/>
      </c>
    </row>
    <row r="33" outlineLevel="1" ht="18" customHeight="1">
      <c r="A33" s="35">
        <f>WBS!A33</f>
        <v/>
      </c>
      <c r="B33" s="36">
        <f>WBS!C33</f>
        <v/>
      </c>
      <c r="C33" s="35">
        <f>WBS!K33</f>
        <v/>
      </c>
      <c r="D33" s="35">
        <f>WBS!G33</f>
        <v/>
      </c>
      <c r="E33" s="35">
        <f>WBS!H33</f>
        <v/>
      </c>
      <c r="F33" s="35">
        <f>WBS!O33</f>
        <v/>
      </c>
      <c r="G33" s="37">
        <f>WBS!P33</f>
        <v/>
      </c>
      <c r="H33" s="9">
        <f>IF(AND(1&gt;=$D33,1&lt;=$E33),IF($F33="완료","●",IF($F33="진행중","▶",IF($F33="제외",".",IF($F33="보류","◇","■")))),"")</f>
        <v/>
      </c>
      <c r="I33" s="9">
        <f>IF(AND(2&gt;=$D33,2&lt;=$E33),IF($F33="완료","●",IF($F33="진행중","▶",IF($F33="제외",".",IF($F33="보류","◇","■")))),"")</f>
        <v/>
      </c>
      <c r="J33" s="9">
        <f>IF(AND(3&gt;=$D33,3&lt;=$E33),IF($F33="완료","●",IF($F33="진행중","▶",IF($F33="제외",".",IF($F33="보류","◇","■")))),"")</f>
        <v/>
      </c>
      <c r="K33" s="9">
        <f>IF(AND(4&gt;=$D33,4&lt;=$E33),IF($F33="완료","●",IF($F33="진행중","▶",IF($F33="제외",".",IF($F33="보류","◇","■")))),"")</f>
        <v/>
      </c>
      <c r="L33" s="9">
        <f>IF(AND(5&gt;=$D33,5&lt;=$E33),IF($F33="완료","●",IF($F33="진행중","▶",IF($F33="제외",".",IF($F33="보류","◇","■")))),"")</f>
        <v/>
      </c>
      <c r="M33" s="9">
        <f>IF(AND(6&gt;=$D33,6&lt;=$E33),IF($F33="완료","●",IF($F33="진행중","▶",IF($F33="제외",".",IF($F33="보류","◇","■")))),"")</f>
        <v/>
      </c>
      <c r="N33" s="9">
        <f>IF(AND(7&gt;=$D33,7&lt;=$E33),IF($F33="완료","●",IF($F33="진행중","▶",IF($F33="제외",".",IF($F33="보류","◇","■")))),"")</f>
        <v/>
      </c>
      <c r="O33" s="9">
        <f>IF(AND(8&gt;=$D33,8&lt;=$E33),IF($F33="완료","●",IF($F33="진행중","▶",IF($F33="제외",".",IF($F33="보류","◇","■")))),"")</f>
        <v/>
      </c>
      <c r="P33" s="9">
        <f>IF(AND(9&gt;=$D33,9&lt;=$E33),IF($F33="완료","●",IF($F33="진행중","▶",IF($F33="제외",".",IF($F33="보류","◇","■")))),"")</f>
        <v/>
      </c>
      <c r="Q33" s="9">
        <f>IF(AND(10&gt;=$D33,10&lt;=$E33),IF($F33="완료","●",IF($F33="진행중","▶",IF($F33="제외",".",IF($F33="보류","◇","■")))),"")</f>
        <v/>
      </c>
      <c r="R33" s="9">
        <f>IF(AND(11&gt;=$D33,11&lt;=$E33),IF($F33="완료","●",IF($F33="진행중","▶",IF($F33="제외",".",IF($F33="보류","◇","■")))),"")</f>
        <v/>
      </c>
      <c r="S33" s="9">
        <f>IF(AND(12&gt;=$D33,12&lt;=$E33),IF($F33="완료","●",IF($F33="진행중","▶",IF($F33="제외",".",IF($F33="보류","◇","■")))),"")</f>
        <v/>
      </c>
      <c r="T33" s="9">
        <f>IF(AND(13&gt;=$D33,13&lt;=$E33),IF($F33="완료","●",IF($F33="진행중","▶",IF($F33="제외",".",IF($F33="보류","◇","■")))),"")</f>
        <v/>
      </c>
      <c r="U33" s="9">
        <f>IF(AND(14&gt;=$D33,14&lt;=$E33),IF($F33="완료","●",IF($F33="진행중","▶",IF($F33="제외",".",IF($F33="보류","◇","■")))),"")</f>
        <v/>
      </c>
      <c r="V33" s="9">
        <f>IF(AND(15&gt;=$D33,15&lt;=$E33),IF($F33="완료","●",IF($F33="진행중","▶",IF($F33="제외",".",IF($F33="보류","◇","■")))),"")</f>
        <v/>
      </c>
    </row>
    <row r="34" outlineLevel="2" ht="18" customHeight="1">
      <c r="A34" s="9">
        <f>WBS!A34</f>
        <v/>
      </c>
      <c r="B34" s="21">
        <f>WBS!C34</f>
        <v/>
      </c>
      <c r="C34" s="9">
        <f>WBS!K34</f>
        <v/>
      </c>
      <c r="D34" s="9">
        <f>WBS!G34</f>
        <v/>
      </c>
      <c r="E34" s="9">
        <f>WBS!H34</f>
        <v/>
      </c>
      <c r="F34" s="9">
        <f>WBS!O34</f>
        <v/>
      </c>
      <c r="G34" s="14">
        <f>WBS!P34</f>
        <v/>
      </c>
      <c r="H34" s="9">
        <f>IF(AND(1&gt;=$D34,1&lt;=$E34),IF($F34="완료","●",IF($F34="진행중","▶",IF($F34="제외",".",IF($F34="보류","◇","■")))),"")</f>
        <v/>
      </c>
      <c r="I34" s="9">
        <f>IF(AND(2&gt;=$D34,2&lt;=$E34),IF($F34="완료","●",IF($F34="진행중","▶",IF($F34="제외",".",IF($F34="보류","◇","■")))),"")</f>
        <v/>
      </c>
      <c r="J34" s="9">
        <f>IF(AND(3&gt;=$D34,3&lt;=$E34),IF($F34="완료","●",IF($F34="진행중","▶",IF($F34="제외",".",IF($F34="보류","◇","■")))),"")</f>
        <v/>
      </c>
      <c r="K34" s="9">
        <f>IF(AND(4&gt;=$D34,4&lt;=$E34),IF($F34="완료","●",IF($F34="진행중","▶",IF($F34="제외",".",IF($F34="보류","◇","■")))),"")</f>
        <v/>
      </c>
      <c r="L34" s="9">
        <f>IF(AND(5&gt;=$D34,5&lt;=$E34),IF($F34="완료","●",IF($F34="진행중","▶",IF($F34="제외",".",IF($F34="보류","◇","■")))),"")</f>
        <v/>
      </c>
      <c r="M34" s="9">
        <f>IF(AND(6&gt;=$D34,6&lt;=$E34),IF($F34="완료","●",IF($F34="진행중","▶",IF($F34="제외",".",IF($F34="보류","◇","■")))),"")</f>
        <v/>
      </c>
      <c r="N34" s="9">
        <f>IF(AND(7&gt;=$D34,7&lt;=$E34),IF($F34="완료","●",IF($F34="진행중","▶",IF($F34="제외",".",IF($F34="보류","◇","■")))),"")</f>
        <v/>
      </c>
      <c r="O34" s="9">
        <f>IF(AND(8&gt;=$D34,8&lt;=$E34),IF($F34="완료","●",IF($F34="진행중","▶",IF($F34="제외",".",IF($F34="보류","◇","■")))),"")</f>
        <v/>
      </c>
      <c r="P34" s="9">
        <f>IF(AND(9&gt;=$D34,9&lt;=$E34),IF($F34="완료","●",IF($F34="진행중","▶",IF($F34="제외",".",IF($F34="보류","◇","■")))),"")</f>
        <v/>
      </c>
      <c r="Q34" s="9">
        <f>IF(AND(10&gt;=$D34,10&lt;=$E34),IF($F34="완료","●",IF($F34="진행중","▶",IF($F34="제외",".",IF($F34="보류","◇","■")))),"")</f>
        <v/>
      </c>
      <c r="R34" s="9">
        <f>IF(AND(11&gt;=$D34,11&lt;=$E34),IF($F34="완료","●",IF($F34="진행중","▶",IF($F34="제외",".",IF($F34="보류","◇","■")))),"")</f>
        <v/>
      </c>
      <c r="S34" s="9">
        <f>IF(AND(12&gt;=$D34,12&lt;=$E34),IF($F34="완료","●",IF($F34="진행중","▶",IF($F34="제외",".",IF($F34="보류","◇","■")))),"")</f>
        <v/>
      </c>
      <c r="T34" s="9">
        <f>IF(AND(13&gt;=$D34,13&lt;=$E34),IF($F34="완료","●",IF($F34="진행중","▶",IF($F34="제외",".",IF($F34="보류","◇","■")))),"")</f>
        <v/>
      </c>
      <c r="U34" s="9">
        <f>IF(AND(14&gt;=$D34,14&lt;=$E34),IF($F34="완료","●",IF($F34="진행중","▶",IF($F34="제외",".",IF($F34="보류","◇","■")))),"")</f>
        <v/>
      </c>
      <c r="V34" s="9">
        <f>IF(AND(15&gt;=$D34,15&lt;=$E34),IF($F34="완료","●",IF($F34="진행중","▶",IF($F34="제외",".",IF($F34="보류","◇","■")))),"")</f>
        <v/>
      </c>
    </row>
    <row r="35" outlineLevel="2" ht="18" customHeight="1">
      <c r="A35" s="9">
        <f>WBS!A35</f>
        <v/>
      </c>
      <c r="B35" s="21">
        <f>WBS!C35</f>
        <v/>
      </c>
      <c r="C35" s="9">
        <f>WBS!K35</f>
        <v/>
      </c>
      <c r="D35" s="9">
        <f>WBS!G35</f>
        <v/>
      </c>
      <c r="E35" s="9">
        <f>WBS!H35</f>
        <v/>
      </c>
      <c r="F35" s="9">
        <f>WBS!O35</f>
        <v/>
      </c>
      <c r="G35" s="14">
        <f>WBS!P35</f>
        <v/>
      </c>
      <c r="H35" s="9">
        <f>IF(AND(1&gt;=$D35,1&lt;=$E35),IF($F35="완료","●",IF($F35="진행중","▶",IF($F35="제외",".",IF($F35="보류","◇","■")))),"")</f>
        <v/>
      </c>
      <c r="I35" s="9">
        <f>IF(AND(2&gt;=$D35,2&lt;=$E35),IF($F35="완료","●",IF($F35="진행중","▶",IF($F35="제외",".",IF($F35="보류","◇","■")))),"")</f>
        <v/>
      </c>
      <c r="J35" s="9">
        <f>IF(AND(3&gt;=$D35,3&lt;=$E35),IF($F35="완료","●",IF($F35="진행중","▶",IF($F35="제외",".",IF($F35="보류","◇","■")))),"")</f>
        <v/>
      </c>
      <c r="K35" s="9">
        <f>IF(AND(4&gt;=$D35,4&lt;=$E35),IF($F35="완료","●",IF($F35="진행중","▶",IF($F35="제외",".",IF($F35="보류","◇","■")))),"")</f>
        <v/>
      </c>
      <c r="L35" s="9">
        <f>IF(AND(5&gt;=$D35,5&lt;=$E35),IF($F35="완료","●",IF($F35="진행중","▶",IF($F35="제외",".",IF($F35="보류","◇","■")))),"")</f>
        <v/>
      </c>
      <c r="M35" s="9">
        <f>IF(AND(6&gt;=$D35,6&lt;=$E35),IF($F35="완료","●",IF($F35="진행중","▶",IF($F35="제외",".",IF($F35="보류","◇","■")))),"")</f>
        <v/>
      </c>
      <c r="N35" s="9">
        <f>IF(AND(7&gt;=$D35,7&lt;=$E35),IF($F35="완료","●",IF($F35="진행중","▶",IF($F35="제외",".",IF($F35="보류","◇","■")))),"")</f>
        <v/>
      </c>
      <c r="O35" s="9">
        <f>IF(AND(8&gt;=$D35,8&lt;=$E35),IF($F35="완료","●",IF($F35="진행중","▶",IF($F35="제외",".",IF($F35="보류","◇","■")))),"")</f>
        <v/>
      </c>
      <c r="P35" s="9">
        <f>IF(AND(9&gt;=$D35,9&lt;=$E35),IF($F35="완료","●",IF($F35="진행중","▶",IF($F35="제외",".",IF($F35="보류","◇","■")))),"")</f>
        <v/>
      </c>
      <c r="Q35" s="9">
        <f>IF(AND(10&gt;=$D35,10&lt;=$E35),IF($F35="완료","●",IF($F35="진행중","▶",IF($F35="제외",".",IF($F35="보류","◇","■")))),"")</f>
        <v/>
      </c>
      <c r="R35" s="9">
        <f>IF(AND(11&gt;=$D35,11&lt;=$E35),IF($F35="완료","●",IF($F35="진행중","▶",IF($F35="제외",".",IF($F35="보류","◇","■")))),"")</f>
        <v/>
      </c>
      <c r="S35" s="9">
        <f>IF(AND(12&gt;=$D35,12&lt;=$E35),IF($F35="완료","●",IF($F35="진행중","▶",IF($F35="제외",".",IF($F35="보류","◇","■")))),"")</f>
        <v/>
      </c>
      <c r="T35" s="9">
        <f>IF(AND(13&gt;=$D35,13&lt;=$E35),IF($F35="완료","●",IF($F35="진행중","▶",IF($F35="제외",".",IF($F35="보류","◇","■")))),"")</f>
        <v/>
      </c>
      <c r="U35" s="9">
        <f>IF(AND(14&gt;=$D35,14&lt;=$E35),IF($F35="완료","●",IF($F35="진행중","▶",IF($F35="제외",".",IF($F35="보류","◇","■")))),"")</f>
        <v/>
      </c>
      <c r="V35" s="9">
        <f>IF(AND(15&gt;=$D35,15&lt;=$E35),IF($F35="완료","●",IF($F35="진행중","▶",IF($F35="제외",".",IF($F35="보류","◇","■")))),"")</f>
        <v/>
      </c>
    </row>
    <row r="36" outlineLevel="2" ht="18" customHeight="1">
      <c r="A36" s="9">
        <f>WBS!A36</f>
        <v/>
      </c>
      <c r="B36" s="21">
        <f>WBS!C36</f>
        <v/>
      </c>
      <c r="C36" s="9">
        <f>WBS!K36</f>
        <v/>
      </c>
      <c r="D36" s="9">
        <f>WBS!G36</f>
        <v/>
      </c>
      <c r="E36" s="9">
        <f>WBS!H36</f>
        <v/>
      </c>
      <c r="F36" s="9">
        <f>WBS!O36</f>
        <v/>
      </c>
      <c r="G36" s="14">
        <f>WBS!P36</f>
        <v/>
      </c>
      <c r="H36" s="9">
        <f>IF(AND(1&gt;=$D36,1&lt;=$E36),IF($F36="완료","●",IF($F36="진행중","▶",IF($F36="제외",".",IF($F36="보류","◇","■")))),"")</f>
        <v/>
      </c>
      <c r="I36" s="9">
        <f>IF(AND(2&gt;=$D36,2&lt;=$E36),IF($F36="완료","●",IF($F36="진행중","▶",IF($F36="제외",".",IF($F36="보류","◇","■")))),"")</f>
        <v/>
      </c>
      <c r="J36" s="9">
        <f>IF(AND(3&gt;=$D36,3&lt;=$E36),IF($F36="완료","●",IF($F36="진행중","▶",IF($F36="제외",".",IF($F36="보류","◇","■")))),"")</f>
        <v/>
      </c>
      <c r="K36" s="9">
        <f>IF(AND(4&gt;=$D36,4&lt;=$E36),IF($F36="완료","●",IF($F36="진행중","▶",IF($F36="제외",".",IF($F36="보류","◇","■")))),"")</f>
        <v/>
      </c>
      <c r="L36" s="9">
        <f>IF(AND(5&gt;=$D36,5&lt;=$E36),IF($F36="완료","●",IF($F36="진행중","▶",IF($F36="제외",".",IF($F36="보류","◇","■")))),"")</f>
        <v/>
      </c>
      <c r="M36" s="9">
        <f>IF(AND(6&gt;=$D36,6&lt;=$E36),IF($F36="완료","●",IF($F36="진행중","▶",IF($F36="제외",".",IF($F36="보류","◇","■")))),"")</f>
        <v/>
      </c>
      <c r="N36" s="9">
        <f>IF(AND(7&gt;=$D36,7&lt;=$E36),IF($F36="완료","●",IF($F36="진행중","▶",IF($F36="제외",".",IF($F36="보류","◇","■")))),"")</f>
        <v/>
      </c>
      <c r="O36" s="9">
        <f>IF(AND(8&gt;=$D36,8&lt;=$E36),IF($F36="완료","●",IF($F36="진행중","▶",IF($F36="제외",".",IF($F36="보류","◇","■")))),"")</f>
        <v/>
      </c>
      <c r="P36" s="9">
        <f>IF(AND(9&gt;=$D36,9&lt;=$E36),IF($F36="완료","●",IF($F36="진행중","▶",IF($F36="제외",".",IF($F36="보류","◇","■")))),"")</f>
        <v/>
      </c>
      <c r="Q36" s="9">
        <f>IF(AND(10&gt;=$D36,10&lt;=$E36),IF($F36="완료","●",IF($F36="진행중","▶",IF($F36="제외",".",IF($F36="보류","◇","■")))),"")</f>
        <v/>
      </c>
      <c r="R36" s="9">
        <f>IF(AND(11&gt;=$D36,11&lt;=$E36),IF($F36="완료","●",IF($F36="진행중","▶",IF($F36="제외",".",IF($F36="보류","◇","■")))),"")</f>
        <v/>
      </c>
      <c r="S36" s="9">
        <f>IF(AND(12&gt;=$D36,12&lt;=$E36),IF($F36="완료","●",IF($F36="진행중","▶",IF($F36="제외",".",IF($F36="보류","◇","■")))),"")</f>
        <v/>
      </c>
      <c r="T36" s="9">
        <f>IF(AND(13&gt;=$D36,13&lt;=$E36),IF($F36="완료","●",IF($F36="진행중","▶",IF($F36="제외",".",IF($F36="보류","◇","■")))),"")</f>
        <v/>
      </c>
      <c r="U36" s="9">
        <f>IF(AND(14&gt;=$D36,14&lt;=$E36),IF($F36="완료","●",IF($F36="진행중","▶",IF($F36="제외",".",IF($F36="보류","◇","■")))),"")</f>
        <v/>
      </c>
      <c r="V36" s="9">
        <f>IF(AND(15&gt;=$D36,15&lt;=$E36),IF($F36="완료","●",IF($F36="진행중","▶",IF($F36="제외",".",IF($F36="보류","◇","■")))),"")</f>
        <v/>
      </c>
    </row>
    <row r="37" outlineLevel="2" ht="18" customHeight="1">
      <c r="A37" s="9">
        <f>WBS!A37</f>
        <v/>
      </c>
      <c r="B37" s="21">
        <f>WBS!C37</f>
        <v/>
      </c>
      <c r="C37" s="9">
        <f>WBS!K37</f>
        <v/>
      </c>
      <c r="D37" s="9">
        <f>WBS!G37</f>
        <v/>
      </c>
      <c r="E37" s="9">
        <f>WBS!H37</f>
        <v/>
      </c>
      <c r="F37" s="9">
        <f>WBS!O37</f>
        <v/>
      </c>
      <c r="G37" s="14">
        <f>WBS!P37</f>
        <v/>
      </c>
      <c r="H37" s="9">
        <f>IF(AND(1&gt;=$D37,1&lt;=$E37),IF($F37="완료","●",IF($F37="진행중","▶",IF($F37="제외",".",IF($F37="보류","◇","■")))),"")</f>
        <v/>
      </c>
      <c r="I37" s="9">
        <f>IF(AND(2&gt;=$D37,2&lt;=$E37),IF($F37="완료","●",IF($F37="진행중","▶",IF($F37="제외",".",IF($F37="보류","◇","■")))),"")</f>
        <v/>
      </c>
      <c r="J37" s="9">
        <f>IF(AND(3&gt;=$D37,3&lt;=$E37),IF($F37="완료","●",IF($F37="진행중","▶",IF($F37="제외",".",IF($F37="보류","◇","■")))),"")</f>
        <v/>
      </c>
      <c r="K37" s="9">
        <f>IF(AND(4&gt;=$D37,4&lt;=$E37),IF($F37="완료","●",IF($F37="진행중","▶",IF($F37="제외",".",IF($F37="보류","◇","■")))),"")</f>
        <v/>
      </c>
      <c r="L37" s="9">
        <f>IF(AND(5&gt;=$D37,5&lt;=$E37),IF($F37="완료","●",IF($F37="진행중","▶",IF($F37="제외",".",IF($F37="보류","◇","■")))),"")</f>
        <v/>
      </c>
      <c r="M37" s="9">
        <f>IF(AND(6&gt;=$D37,6&lt;=$E37),IF($F37="완료","●",IF($F37="진행중","▶",IF($F37="제외",".",IF($F37="보류","◇","■")))),"")</f>
        <v/>
      </c>
      <c r="N37" s="9">
        <f>IF(AND(7&gt;=$D37,7&lt;=$E37),IF($F37="완료","●",IF($F37="진행중","▶",IF($F37="제외",".",IF($F37="보류","◇","■")))),"")</f>
        <v/>
      </c>
      <c r="O37" s="9">
        <f>IF(AND(8&gt;=$D37,8&lt;=$E37),IF($F37="완료","●",IF($F37="진행중","▶",IF($F37="제외",".",IF($F37="보류","◇","■")))),"")</f>
        <v/>
      </c>
      <c r="P37" s="9">
        <f>IF(AND(9&gt;=$D37,9&lt;=$E37),IF($F37="완료","●",IF($F37="진행중","▶",IF($F37="제외",".",IF($F37="보류","◇","■")))),"")</f>
        <v/>
      </c>
      <c r="Q37" s="9">
        <f>IF(AND(10&gt;=$D37,10&lt;=$E37),IF($F37="완료","●",IF($F37="진행중","▶",IF($F37="제외",".",IF($F37="보류","◇","■")))),"")</f>
        <v/>
      </c>
      <c r="R37" s="9">
        <f>IF(AND(11&gt;=$D37,11&lt;=$E37),IF($F37="완료","●",IF($F37="진행중","▶",IF($F37="제외",".",IF($F37="보류","◇","■")))),"")</f>
        <v/>
      </c>
      <c r="S37" s="9">
        <f>IF(AND(12&gt;=$D37,12&lt;=$E37),IF($F37="완료","●",IF($F37="진행중","▶",IF($F37="제외",".",IF($F37="보류","◇","■")))),"")</f>
        <v/>
      </c>
      <c r="T37" s="9">
        <f>IF(AND(13&gt;=$D37,13&lt;=$E37),IF($F37="완료","●",IF($F37="진행중","▶",IF($F37="제외",".",IF($F37="보류","◇","■")))),"")</f>
        <v/>
      </c>
      <c r="U37" s="9">
        <f>IF(AND(14&gt;=$D37,14&lt;=$E37),IF($F37="완료","●",IF($F37="진행중","▶",IF($F37="제외",".",IF($F37="보류","◇","■")))),"")</f>
        <v/>
      </c>
      <c r="V37" s="9">
        <f>IF(AND(15&gt;=$D37,15&lt;=$E37),IF($F37="완료","●",IF($F37="진행중","▶",IF($F37="제외",".",IF($F37="보류","◇","■")))),"")</f>
        <v/>
      </c>
    </row>
    <row r="38" outlineLevel="2" ht="18" customHeight="1">
      <c r="A38" s="9">
        <f>WBS!A38</f>
        <v/>
      </c>
      <c r="B38" s="21">
        <f>WBS!C38</f>
        <v/>
      </c>
      <c r="C38" s="9">
        <f>WBS!K38</f>
        <v/>
      </c>
      <c r="D38" s="9">
        <f>WBS!G38</f>
        <v/>
      </c>
      <c r="E38" s="9">
        <f>WBS!H38</f>
        <v/>
      </c>
      <c r="F38" s="9">
        <f>WBS!O38</f>
        <v/>
      </c>
      <c r="G38" s="14">
        <f>WBS!P38</f>
        <v/>
      </c>
      <c r="H38" s="9">
        <f>IF(AND(1&gt;=$D38,1&lt;=$E38),IF($F38="완료","●",IF($F38="진행중","▶",IF($F38="제외",".",IF($F38="보류","◇","■")))),"")</f>
        <v/>
      </c>
      <c r="I38" s="9">
        <f>IF(AND(2&gt;=$D38,2&lt;=$E38),IF($F38="완료","●",IF($F38="진행중","▶",IF($F38="제외",".",IF($F38="보류","◇","■")))),"")</f>
        <v/>
      </c>
      <c r="J38" s="9">
        <f>IF(AND(3&gt;=$D38,3&lt;=$E38),IF($F38="완료","●",IF($F38="진행중","▶",IF($F38="제외",".",IF($F38="보류","◇","■")))),"")</f>
        <v/>
      </c>
      <c r="K38" s="9">
        <f>IF(AND(4&gt;=$D38,4&lt;=$E38),IF($F38="완료","●",IF($F38="진행중","▶",IF($F38="제외",".",IF($F38="보류","◇","■")))),"")</f>
        <v/>
      </c>
      <c r="L38" s="9">
        <f>IF(AND(5&gt;=$D38,5&lt;=$E38),IF($F38="완료","●",IF($F38="진행중","▶",IF($F38="제외",".",IF($F38="보류","◇","■")))),"")</f>
        <v/>
      </c>
      <c r="M38" s="9">
        <f>IF(AND(6&gt;=$D38,6&lt;=$E38),IF($F38="완료","●",IF($F38="진행중","▶",IF($F38="제외",".",IF($F38="보류","◇","■")))),"")</f>
        <v/>
      </c>
      <c r="N38" s="9">
        <f>IF(AND(7&gt;=$D38,7&lt;=$E38),IF($F38="완료","●",IF($F38="진행중","▶",IF($F38="제외",".",IF($F38="보류","◇","■")))),"")</f>
        <v/>
      </c>
      <c r="O38" s="9">
        <f>IF(AND(8&gt;=$D38,8&lt;=$E38),IF($F38="완료","●",IF($F38="진행중","▶",IF($F38="제외",".",IF($F38="보류","◇","■")))),"")</f>
        <v/>
      </c>
      <c r="P38" s="9">
        <f>IF(AND(9&gt;=$D38,9&lt;=$E38),IF($F38="완료","●",IF($F38="진행중","▶",IF($F38="제외",".",IF($F38="보류","◇","■")))),"")</f>
        <v/>
      </c>
      <c r="Q38" s="9">
        <f>IF(AND(10&gt;=$D38,10&lt;=$E38),IF($F38="완료","●",IF($F38="진행중","▶",IF($F38="제외",".",IF($F38="보류","◇","■")))),"")</f>
        <v/>
      </c>
      <c r="R38" s="9">
        <f>IF(AND(11&gt;=$D38,11&lt;=$E38),IF($F38="완료","●",IF($F38="진행중","▶",IF($F38="제외",".",IF($F38="보류","◇","■")))),"")</f>
        <v/>
      </c>
      <c r="S38" s="9">
        <f>IF(AND(12&gt;=$D38,12&lt;=$E38),IF($F38="완료","●",IF($F38="진행중","▶",IF($F38="제외",".",IF($F38="보류","◇","■")))),"")</f>
        <v/>
      </c>
      <c r="T38" s="9">
        <f>IF(AND(13&gt;=$D38,13&lt;=$E38),IF($F38="완료","●",IF($F38="진행중","▶",IF($F38="제외",".",IF($F38="보류","◇","■")))),"")</f>
        <v/>
      </c>
      <c r="U38" s="9">
        <f>IF(AND(14&gt;=$D38,14&lt;=$E38),IF($F38="완료","●",IF($F38="진행중","▶",IF($F38="제외",".",IF($F38="보류","◇","■")))),"")</f>
        <v/>
      </c>
      <c r="V38" s="9">
        <f>IF(AND(15&gt;=$D38,15&lt;=$E38),IF($F38="완료","●",IF($F38="진행중","▶",IF($F38="제외",".",IF($F38="보류","◇","■")))),"")</f>
        <v/>
      </c>
    </row>
    <row r="39" outlineLevel="2" ht="18" customHeight="1">
      <c r="A39" s="9">
        <f>WBS!A39</f>
        <v/>
      </c>
      <c r="B39" s="21">
        <f>WBS!C39</f>
        <v/>
      </c>
      <c r="C39" s="9">
        <f>WBS!K39</f>
        <v/>
      </c>
      <c r="D39" s="9">
        <f>WBS!G39</f>
        <v/>
      </c>
      <c r="E39" s="9">
        <f>WBS!H39</f>
        <v/>
      </c>
      <c r="F39" s="9">
        <f>WBS!O39</f>
        <v/>
      </c>
      <c r="G39" s="14">
        <f>WBS!P39</f>
        <v/>
      </c>
      <c r="H39" s="9">
        <f>IF(AND(1&gt;=$D39,1&lt;=$E39),IF($F39="완료","●",IF($F39="진행중","▶",IF($F39="제외",".",IF($F39="보류","◇","■")))),"")</f>
        <v/>
      </c>
      <c r="I39" s="9">
        <f>IF(AND(2&gt;=$D39,2&lt;=$E39),IF($F39="완료","●",IF($F39="진행중","▶",IF($F39="제외",".",IF($F39="보류","◇","■")))),"")</f>
        <v/>
      </c>
      <c r="J39" s="9">
        <f>IF(AND(3&gt;=$D39,3&lt;=$E39),IF($F39="완료","●",IF($F39="진행중","▶",IF($F39="제외",".",IF($F39="보류","◇","■")))),"")</f>
        <v/>
      </c>
      <c r="K39" s="9">
        <f>IF(AND(4&gt;=$D39,4&lt;=$E39),IF($F39="완료","●",IF($F39="진행중","▶",IF($F39="제외",".",IF($F39="보류","◇","■")))),"")</f>
        <v/>
      </c>
      <c r="L39" s="9">
        <f>IF(AND(5&gt;=$D39,5&lt;=$E39),IF($F39="완료","●",IF($F39="진행중","▶",IF($F39="제외",".",IF($F39="보류","◇","■")))),"")</f>
        <v/>
      </c>
      <c r="M39" s="9">
        <f>IF(AND(6&gt;=$D39,6&lt;=$E39),IF($F39="완료","●",IF($F39="진행중","▶",IF($F39="제외",".",IF($F39="보류","◇","■")))),"")</f>
        <v/>
      </c>
      <c r="N39" s="9">
        <f>IF(AND(7&gt;=$D39,7&lt;=$E39),IF($F39="완료","●",IF($F39="진행중","▶",IF($F39="제외",".",IF($F39="보류","◇","■")))),"")</f>
        <v/>
      </c>
      <c r="O39" s="9">
        <f>IF(AND(8&gt;=$D39,8&lt;=$E39),IF($F39="완료","●",IF($F39="진행중","▶",IF($F39="제외",".",IF($F39="보류","◇","■")))),"")</f>
        <v/>
      </c>
      <c r="P39" s="9">
        <f>IF(AND(9&gt;=$D39,9&lt;=$E39),IF($F39="완료","●",IF($F39="진행중","▶",IF($F39="제외",".",IF($F39="보류","◇","■")))),"")</f>
        <v/>
      </c>
      <c r="Q39" s="9">
        <f>IF(AND(10&gt;=$D39,10&lt;=$E39),IF($F39="완료","●",IF($F39="진행중","▶",IF($F39="제외",".",IF($F39="보류","◇","■")))),"")</f>
        <v/>
      </c>
      <c r="R39" s="9">
        <f>IF(AND(11&gt;=$D39,11&lt;=$E39),IF($F39="완료","●",IF($F39="진행중","▶",IF($F39="제외",".",IF($F39="보류","◇","■")))),"")</f>
        <v/>
      </c>
      <c r="S39" s="9">
        <f>IF(AND(12&gt;=$D39,12&lt;=$E39),IF($F39="완료","●",IF($F39="진행중","▶",IF($F39="제외",".",IF($F39="보류","◇","■")))),"")</f>
        <v/>
      </c>
      <c r="T39" s="9">
        <f>IF(AND(13&gt;=$D39,13&lt;=$E39),IF($F39="완료","●",IF($F39="진행중","▶",IF($F39="제외",".",IF($F39="보류","◇","■")))),"")</f>
        <v/>
      </c>
      <c r="U39" s="9">
        <f>IF(AND(14&gt;=$D39,14&lt;=$E39),IF($F39="완료","●",IF($F39="진행중","▶",IF($F39="제외",".",IF($F39="보류","◇","■")))),"")</f>
        <v/>
      </c>
      <c r="V39" s="9">
        <f>IF(AND(15&gt;=$D39,15&lt;=$E39),IF($F39="완료","●",IF($F39="진행중","▶",IF($F39="제외",".",IF($F39="보류","◇","■")))),"")</f>
        <v/>
      </c>
    </row>
    <row r="40" outlineLevel="1" ht="18" customHeight="1">
      <c r="A40" s="35">
        <f>WBS!A40</f>
        <v/>
      </c>
      <c r="B40" s="36">
        <f>WBS!C40</f>
        <v/>
      </c>
      <c r="C40" s="35">
        <f>WBS!K40</f>
        <v/>
      </c>
      <c r="D40" s="35">
        <f>WBS!G40</f>
        <v/>
      </c>
      <c r="E40" s="35">
        <f>WBS!H40</f>
        <v/>
      </c>
      <c r="F40" s="35">
        <f>WBS!O40</f>
        <v/>
      </c>
      <c r="G40" s="37">
        <f>WBS!P40</f>
        <v/>
      </c>
      <c r="H40" s="9">
        <f>IF(AND(1&gt;=$D40,1&lt;=$E40),IF($F40="완료","●",IF($F40="진행중","▶",IF($F40="제외",".",IF($F40="보류","◇","■")))),"")</f>
        <v/>
      </c>
      <c r="I40" s="9">
        <f>IF(AND(2&gt;=$D40,2&lt;=$E40),IF($F40="완료","●",IF($F40="진행중","▶",IF($F40="제외",".",IF($F40="보류","◇","■")))),"")</f>
        <v/>
      </c>
      <c r="J40" s="9">
        <f>IF(AND(3&gt;=$D40,3&lt;=$E40),IF($F40="완료","●",IF($F40="진행중","▶",IF($F40="제외",".",IF($F40="보류","◇","■")))),"")</f>
        <v/>
      </c>
      <c r="K40" s="9">
        <f>IF(AND(4&gt;=$D40,4&lt;=$E40),IF($F40="완료","●",IF($F40="진행중","▶",IF($F40="제외",".",IF($F40="보류","◇","■")))),"")</f>
        <v/>
      </c>
      <c r="L40" s="9">
        <f>IF(AND(5&gt;=$D40,5&lt;=$E40),IF($F40="완료","●",IF($F40="진행중","▶",IF($F40="제외",".",IF($F40="보류","◇","■")))),"")</f>
        <v/>
      </c>
      <c r="M40" s="9">
        <f>IF(AND(6&gt;=$D40,6&lt;=$E40),IF($F40="완료","●",IF($F40="진행중","▶",IF($F40="제외",".",IF($F40="보류","◇","■")))),"")</f>
        <v/>
      </c>
      <c r="N40" s="9">
        <f>IF(AND(7&gt;=$D40,7&lt;=$E40),IF($F40="완료","●",IF($F40="진행중","▶",IF($F40="제외",".",IF($F40="보류","◇","■")))),"")</f>
        <v/>
      </c>
      <c r="O40" s="9">
        <f>IF(AND(8&gt;=$D40,8&lt;=$E40),IF($F40="완료","●",IF($F40="진행중","▶",IF($F40="제외",".",IF($F40="보류","◇","■")))),"")</f>
        <v/>
      </c>
      <c r="P40" s="9">
        <f>IF(AND(9&gt;=$D40,9&lt;=$E40),IF($F40="완료","●",IF($F40="진행중","▶",IF($F40="제외",".",IF($F40="보류","◇","■")))),"")</f>
        <v/>
      </c>
      <c r="Q40" s="9">
        <f>IF(AND(10&gt;=$D40,10&lt;=$E40),IF($F40="완료","●",IF($F40="진행중","▶",IF($F40="제외",".",IF($F40="보류","◇","■")))),"")</f>
        <v/>
      </c>
      <c r="R40" s="9">
        <f>IF(AND(11&gt;=$D40,11&lt;=$E40),IF($F40="완료","●",IF($F40="진행중","▶",IF($F40="제외",".",IF($F40="보류","◇","■")))),"")</f>
        <v/>
      </c>
      <c r="S40" s="9">
        <f>IF(AND(12&gt;=$D40,12&lt;=$E40),IF($F40="완료","●",IF($F40="진행중","▶",IF($F40="제외",".",IF($F40="보류","◇","■")))),"")</f>
        <v/>
      </c>
      <c r="T40" s="9">
        <f>IF(AND(13&gt;=$D40,13&lt;=$E40),IF($F40="완료","●",IF($F40="진행중","▶",IF($F40="제외",".",IF($F40="보류","◇","■")))),"")</f>
        <v/>
      </c>
      <c r="U40" s="9">
        <f>IF(AND(14&gt;=$D40,14&lt;=$E40),IF($F40="완료","●",IF($F40="진행중","▶",IF($F40="제외",".",IF($F40="보류","◇","■")))),"")</f>
        <v/>
      </c>
      <c r="V40" s="9">
        <f>IF(AND(15&gt;=$D40,15&lt;=$E40),IF($F40="완료","●",IF($F40="진행중","▶",IF($F40="제외",".",IF($F40="보류","◇","■")))),"")</f>
        <v/>
      </c>
    </row>
    <row r="41" outlineLevel="2" ht="18" customHeight="1">
      <c r="A41" s="9">
        <f>WBS!A41</f>
        <v/>
      </c>
      <c r="B41" s="21">
        <f>WBS!C41</f>
        <v/>
      </c>
      <c r="C41" s="9">
        <f>WBS!K41</f>
        <v/>
      </c>
      <c r="D41" s="9">
        <f>WBS!G41</f>
        <v/>
      </c>
      <c r="E41" s="9">
        <f>WBS!H41</f>
        <v/>
      </c>
      <c r="F41" s="9">
        <f>WBS!O41</f>
        <v/>
      </c>
      <c r="G41" s="14">
        <f>WBS!P41</f>
        <v/>
      </c>
      <c r="H41" s="9">
        <f>IF(AND(1&gt;=$D41,1&lt;=$E41),IF($F41="완료","●",IF($F41="진행중","▶",IF($F41="제외",".",IF($F41="보류","◇","■")))),"")</f>
        <v/>
      </c>
      <c r="I41" s="9">
        <f>IF(AND(2&gt;=$D41,2&lt;=$E41),IF($F41="완료","●",IF($F41="진행중","▶",IF($F41="제외",".",IF($F41="보류","◇","■")))),"")</f>
        <v/>
      </c>
      <c r="J41" s="9">
        <f>IF(AND(3&gt;=$D41,3&lt;=$E41),IF($F41="완료","●",IF($F41="진행중","▶",IF($F41="제외",".",IF($F41="보류","◇","■")))),"")</f>
        <v/>
      </c>
      <c r="K41" s="9">
        <f>IF(AND(4&gt;=$D41,4&lt;=$E41),IF($F41="완료","●",IF($F41="진행중","▶",IF($F41="제외",".",IF($F41="보류","◇","■")))),"")</f>
        <v/>
      </c>
      <c r="L41" s="9">
        <f>IF(AND(5&gt;=$D41,5&lt;=$E41),IF($F41="완료","●",IF($F41="진행중","▶",IF($F41="제외",".",IF($F41="보류","◇","■")))),"")</f>
        <v/>
      </c>
      <c r="M41" s="9">
        <f>IF(AND(6&gt;=$D41,6&lt;=$E41),IF($F41="완료","●",IF($F41="진행중","▶",IF($F41="제외",".",IF($F41="보류","◇","■")))),"")</f>
        <v/>
      </c>
      <c r="N41" s="9">
        <f>IF(AND(7&gt;=$D41,7&lt;=$E41),IF($F41="완료","●",IF($F41="진행중","▶",IF($F41="제외",".",IF($F41="보류","◇","■")))),"")</f>
        <v/>
      </c>
      <c r="O41" s="9">
        <f>IF(AND(8&gt;=$D41,8&lt;=$E41),IF($F41="완료","●",IF($F41="진행중","▶",IF($F41="제외",".",IF($F41="보류","◇","■")))),"")</f>
        <v/>
      </c>
      <c r="P41" s="9">
        <f>IF(AND(9&gt;=$D41,9&lt;=$E41),IF($F41="완료","●",IF($F41="진행중","▶",IF($F41="제외",".",IF($F41="보류","◇","■")))),"")</f>
        <v/>
      </c>
      <c r="Q41" s="9">
        <f>IF(AND(10&gt;=$D41,10&lt;=$E41),IF($F41="완료","●",IF($F41="진행중","▶",IF($F41="제외",".",IF($F41="보류","◇","■")))),"")</f>
        <v/>
      </c>
      <c r="R41" s="9">
        <f>IF(AND(11&gt;=$D41,11&lt;=$E41),IF($F41="완료","●",IF($F41="진행중","▶",IF($F41="제외",".",IF($F41="보류","◇","■")))),"")</f>
        <v/>
      </c>
      <c r="S41" s="9">
        <f>IF(AND(12&gt;=$D41,12&lt;=$E41),IF($F41="완료","●",IF($F41="진행중","▶",IF($F41="제외",".",IF($F41="보류","◇","■")))),"")</f>
        <v/>
      </c>
      <c r="T41" s="9">
        <f>IF(AND(13&gt;=$D41,13&lt;=$E41),IF($F41="완료","●",IF($F41="진행중","▶",IF($F41="제외",".",IF($F41="보류","◇","■")))),"")</f>
        <v/>
      </c>
      <c r="U41" s="9">
        <f>IF(AND(14&gt;=$D41,14&lt;=$E41),IF($F41="완료","●",IF($F41="진행중","▶",IF($F41="제외",".",IF($F41="보류","◇","■")))),"")</f>
        <v/>
      </c>
      <c r="V41" s="9">
        <f>IF(AND(15&gt;=$D41,15&lt;=$E41),IF($F41="완료","●",IF($F41="진행중","▶",IF($F41="제외",".",IF($F41="보류","◇","■")))),"")</f>
        <v/>
      </c>
    </row>
    <row r="42" outlineLevel="2" ht="18" customHeight="1">
      <c r="A42" s="9">
        <f>WBS!A42</f>
        <v/>
      </c>
      <c r="B42" s="21">
        <f>WBS!C42</f>
        <v/>
      </c>
      <c r="C42" s="9">
        <f>WBS!K42</f>
        <v/>
      </c>
      <c r="D42" s="9">
        <f>WBS!G42</f>
        <v/>
      </c>
      <c r="E42" s="9">
        <f>WBS!H42</f>
        <v/>
      </c>
      <c r="F42" s="9">
        <f>WBS!O42</f>
        <v/>
      </c>
      <c r="G42" s="14">
        <f>WBS!P42</f>
        <v/>
      </c>
      <c r="H42" s="9">
        <f>IF(AND(1&gt;=$D42,1&lt;=$E42),IF($F42="완료","●",IF($F42="진행중","▶",IF($F42="제외",".",IF($F42="보류","◇","■")))),"")</f>
        <v/>
      </c>
      <c r="I42" s="9">
        <f>IF(AND(2&gt;=$D42,2&lt;=$E42),IF($F42="완료","●",IF($F42="진행중","▶",IF($F42="제외",".",IF($F42="보류","◇","■")))),"")</f>
        <v/>
      </c>
      <c r="J42" s="9">
        <f>IF(AND(3&gt;=$D42,3&lt;=$E42),IF($F42="완료","●",IF($F42="진행중","▶",IF($F42="제외",".",IF($F42="보류","◇","■")))),"")</f>
        <v/>
      </c>
      <c r="K42" s="9">
        <f>IF(AND(4&gt;=$D42,4&lt;=$E42),IF($F42="완료","●",IF($F42="진행중","▶",IF($F42="제외",".",IF($F42="보류","◇","■")))),"")</f>
        <v/>
      </c>
      <c r="L42" s="9">
        <f>IF(AND(5&gt;=$D42,5&lt;=$E42),IF($F42="완료","●",IF($F42="진행중","▶",IF($F42="제외",".",IF($F42="보류","◇","■")))),"")</f>
        <v/>
      </c>
      <c r="M42" s="9">
        <f>IF(AND(6&gt;=$D42,6&lt;=$E42),IF($F42="완료","●",IF($F42="진행중","▶",IF($F42="제외",".",IF($F42="보류","◇","■")))),"")</f>
        <v/>
      </c>
      <c r="N42" s="9">
        <f>IF(AND(7&gt;=$D42,7&lt;=$E42),IF($F42="완료","●",IF($F42="진행중","▶",IF($F42="제외",".",IF($F42="보류","◇","■")))),"")</f>
        <v/>
      </c>
      <c r="O42" s="9">
        <f>IF(AND(8&gt;=$D42,8&lt;=$E42),IF($F42="완료","●",IF($F42="진행중","▶",IF($F42="제외",".",IF($F42="보류","◇","■")))),"")</f>
        <v/>
      </c>
      <c r="P42" s="9">
        <f>IF(AND(9&gt;=$D42,9&lt;=$E42),IF($F42="완료","●",IF($F42="진행중","▶",IF($F42="제외",".",IF($F42="보류","◇","■")))),"")</f>
        <v/>
      </c>
      <c r="Q42" s="9">
        <f>IF(AND(10&gt;=$D42,10&lt;=$E42),IF($F42="완료","●",IF($F42="진행중","▶",IF($F42="제외",".",IF($F42="보류","◇","■")))),"")</f>
        <v/>
      </c>
      <c r="R42" s="9">
        <f>IF(AND(11&gt;=$D42,11&lt;=$E42),IF($F42="완료","●",IF($F42="진행중","▶",IF($F42="제외",".",IF($F42="보류","◇","■")))),"")</f>
        <v/>
      </c>
      <c r="S42" s="9">
        <f>IF(AND(12&gt;=$D42,12&lt;=$E42),IF($F42="완료","●",IF($F42="진행중","▶",IF($F42="제외",".",IF($F42="보류","◇","■")))),"")</f>
        <v/>
      </c>
      <c r="T42" s="9">
        <f>IF(AND(13&gt;=$D42,13&lt;=$E42),IF($F42="완료","●",IF($F42="진행중","▶",IF($F42="제외",".",IF($F42="보류","◇","■")))),"")</f>
        <v/>
      </c>
      <c r="U42" s="9">
        <f>IF(AND(14&gt;=$D42,14&lt;=$E42),IF($F42="완료","●",IF($F42="진행중","▶",IF($F42="제외",".",IF($F42="보류","◇","■")))),"")</f>
        <v/>
      </c>
      <c r="V42" s="9">
        <f>IF(AND(15&gt;=$D42,15&lt;=$E42),IF($F42="완료","●",IF($F42="진행중","▶",IF($F42="제외",".",IF($F42="보류","◇","■")))),"")</f>
        <v/>
      </c>
    </row>
    <row r="43" outlineLevel="2" ht="18" customHeight="1">
      <c r="A43" s="9">
        <f>WBS!A43</f>
        <v/>
      </c>
      <c r="B43" s="21">
        <f>WBS!C43</f>
        <v/>
      </c>
      <c r="C43" s="9">
        <f>WBS!K43</f>
        <v/>
      </c>
      <c r="D43" s="9">
        <f>WBS!G43</f>
        <v/>
      </c>
      <c r="E43" s="9">
        <f>WBS!H43</f>
        <v/>
      </c>
      <c r="F43" s="9">
        <f>WBS!O43</f>
        <v/>
      </c>
      <c r="G43" s="14">
        <f>WBS!P43</f>
        <v/>
      </c>
      <c r="H43" s="9">
        <f>IF(AND(1&gt;=$D43,1&lt;=$E43),IF($F43="완료","●",IF($F43="진행중","▶",IF($F43="제외",".",IF($F43="보류","◇","■")))),"")</f>
        <v/>
      </c>
      <c r="I43" s="9">
        <f>IF(AND(2&gt;=$D43,2&lt;=$E43),IF($F43="완료","●",IF($F43="진행중","▶",IF($F43="제외",".",IF($F43="보류","◇","■")))),"")</f>
        <v/>
      </c>
      <c r="J43" s="9">
        <f>IF(AND(3&gt;=$D43,3&lt;=$E43),IF($F43="완료","●",IF($F43="진행중","▶",IF($F43="제외",".",IF($F43="보류","◇","■")))),"")</f>
        <v/>
      </c>
      <c r="K43" s="9">
        <f>IF(AND(4&gt;=$D43,4&lt;=$E43),IF($F43="완료","●",IF($F43="진행중","▶",IF($F43="제외",".",IF($F43="보류","◇","■")))),"")</f>
        <v/>
      </c>
      <c r="L43" s="9">
        <f>IF(AND(5&gt;=$D43,5&lt;=$E43),IF($F43="완료","●",IF($F43="진행중","▶",IF($F43="제외",".",IF($F43="보류","◇","■")))),"")</f>
        <v/>
      </c>
      <c r="M43" s="9">
        <f>IF(AND(6&gt;=$D43,6&lt;=$E43),IF($F43="완료","●",IF($F43="진행중","▶",IF($F43="제외",".",IF($F43="보류","◇","■")))),"")</f>
        <v/>
      </c>
      <c r="N43" s="9">
        <f>IF(AND(7&gt;=$D43,7&lt;=$E43),IF($F43="완료","●",IF($F43="진행중","▶",IF($F43="제외",".",IF($F43="보류","◇","■")))),"")</f>
        <v/>
      </c>
      <c r="O43" s="9">
        <f>IF(AND(8&gt;=$D43,8&lt;=$E43),IF($F43="완료","●",IF($F43="진행중","▶",IF($F43="제외",".",IF($F43="보류","◇","■")))),"")</f>
        <v/>
      </c>
      <c r="P43" s="9">
        <f>IF(AND(9&gt;=$D43,9&lt;=$E43),IF($F43="완료","●",IF($F43="진행중","▶",IF($F43="제외",".",IF($F43="보류","◇","■")))),"")</f>
        <v/>
      </c>
      <c r="Q43" s="9">
        <f>IF(AND(10&gt;=$D43,10&lt;=$E43),IF($F43="완료","●",IF($F43="진행중","▶",IF($F43="제외",".",IF($F43="보류","◇","■")))),"")</f>
        <v/>
      </c>
      <c r="R43" s="9">
        <f>IF(AND(11&gt;=$D43,11&lt;=$E43),IF($F43="완료","●",IF($F43="진행중","▶",IF($F43="제외",".",IF($F43="보류","◇","■")))),"")</f>
        <v/>
      </c>
      <c r="S43" s="9">
        <f>IF(AND(12&gt;=$D43,12&lt;=$E43),IF($F43="완료","●",IF($F43="진행중","▶",IF($F43="제외",".",IF($F43="보류","◇","■")))),"")</f>
        <v/>
      </c>
      <c r="T43" s="9">
        <f>IF(AND(13&gt;=$D43,13&lt;=$E43),IF($F43="완료","●",IF($F43="진행중","▶",IF($F43="제외",".",IF($F43="보류","◇","■")))),"")</f>
        <v/>
      </c>
      <c r="U43" s="9">
        <f>IF(AND(14&gt;=$D43,14&lt;=$E43),IF($F43="완료","●",IF($F43="진행중","▶",IF($F43="제외",".",IF($F43="보류","◇","■")))),"")</f>
        <v/>
      </c>
      <c r="V43" s="9">
        <f>IF(AND(15&gt;=$D43,15&lt;=$E43),IF($F43="완료","●",IF($F43="진행중","▶",IF($F43="제외",".",IF($F43="보류","◇","■")))),"")</f>
        <v/>
      </c>
    </row>
    <row r="44" outlineLevel="2" ht="18" customHeight="1">
      <c r="A44" s="9">
        <f>WBS!A44</f>
        <v/>
      </c>
      <c r="B44" s="21">
        <f>WBS!C44</f>
        <v/>
      </c>
      <c r="C44" s="9">
        <f>WBS!K44</f>
        <v/>
      </c>
      <c r="D44" s="9">
        <f>WBS!G44</f>
        <v/>
      </c>
      <c r="E44" s="9">
        <f>WBS!H44</f>
        <v/>
      </c>
      <c r="F44" s="9">
        <f>WBS!O44</f>
        <v/>
      </c>
      <c r="G44" s="14">
        <f>WBS!P44</f>
        <v/>
      </c>
      <c r="H44" s="9">
        <f>IF(AND(1&gt;=$D44,1&lt;=$E44),IF($F44="완료","●",IF($F44="진행중","▶",IF($F44="제외",".",IF($F44="보류","◇","■")))),"")</f>
        <v/>
      </c>
      <c r="I44" s="9">
        <f>IF(AND(2&gt;=$D44,2&lt;=$E44),IF($F44="완료","●",IF($F44="진행중","▶",IF($F44="제외",".",IF($F44="보류","◇","■")))),"")</f>
        <v/>
      </c>
      <c r="J44" s="9">
        <f>IF(AND(3&gt;=$D44,3&lt;=$E44),IF($F44="완료","●",IF($F44="진행중","▶",IF($F44="제외",".",IF($F44="보류","◇","■")))),"")</f>
        <v/>
      </c>
      <c r="K44" s="9">
        <f>IF(AND(4&gt;=$D44,4&lt;=$E44),IF($F44="완료","●",IF($F44="진행중","▶",IF($F44="제외",".",IF($F44="보류","◇","■")))),"")</f>
        <v/>
      </c>
      <c r="L44" s="9">
        <f>IF(AND(5&gt;=$D44,5&lt;=$E44),IF($F44="완료","●",IF($F44="진행중","▶",IF($F44="제외",".",IF($F44="보류","◇","■")))),"")</f>
        <v/>
      </c>
      <c r="M44" s="9">
        <f>IF(AND(6&gt;=$D44,6&lt;=$E44),IF($F44="완료","●",IF($F44="진행중","▶",IF($F44="제외",".",IF($F44="보류","◇","■")))),"")</f>
        <v/>
      </c>
      <c r="N44" s="9">
        <f>IF(AND(7&gt;=$D44,7&lt;=$E44),IF($F44="완료","●",IF($F44="진행중","▶",IF($F44="제외",".",IF($F44="보류","◇","■")))),"")</f>
        <v/>
      </c>
      <c r="O44" s="9">
        <f>IF(AND(8&gt;=$D44,8&lt;=$E44),IF($F44="완료","●",IF($F44="진행중","▶",IF($F44="제외",".",IF($F44="보류","◇","■")))),"")</f>
        <v/>
      </c>
      <c r="P44" s="9">
        <f>IF(AND(9&gt;=$D44,9&lt;=$E44),IF($F44="완료","●",IF($F44="진행중","▶",IF($F44="제외",".",IF($F44="보류","◇","■")))),"")</f>
        <v/>
      </c>
      <c r="Q44" s="9">
        <f>IF(AND(10&gt;=$D44,10&lt;=$E44),IF($F44="완료","●",IF($F44="진행중","▶",IF($F44="제외",".",IF($F44="보류","◇","■")))),"")</f>
        <v/>
      </c>
      <c r="R44" s="9">
        <f>IF(AND(11&gt;=$D44,11&lt;=$E44),IF($F44="완료","●",IF($F44="진행중","▶",IF($F44="제외",".",IF($F44="보류","◇","■")))),"")</f>
        <v/>
      </c>
      <c r="S44" s="9">
        <f>IF(AND(12&gt;=$D44,12&lt;=$E44),IF($F44="완료","●",IF($F44="진행중","▶",IF($F44="제외",".",IF($F44="보류","◇","■")))),"")</f>
        <v/>
      </c>
      <c r="T44" s="9">
        <f>IF(AND(13&gt;=$D44,13&lt;=$E44),IF($F44="완료","●",IF($F44="진행중","▶",IF($F44="제외",".",IF($F44="보류","◇","■")))),"")</f>
        <v/>
      </c>
      <c r="U44" s="9">
        <f>IF(AND(14&gt;=$D44,14&lt;=$E44),IF($F44="완료","●",IF($F44="진행중","▶",IF($F44="제외",".",IF($F44="보류","◇","■")))),"")</f>
        <v/>
      </c>
      <c r="V44" s="9">
        <f>IF(AND(15&gt;=$D44,15&lt;=$E44),IF($F44="완료","●",IF($F44="진행중","▶",IF($F44="제외",".",IF($F44="보류","◇","■")))),"")</f>
        <v/>
      </c>
    </row>
    <row r="45" outlineLevel="2" ht="18" customHeight="1">
      <c r="A45" s="9">
        <f>WBS!A45</f>
        <v/>
      </c>
      <c r="B45" s="21">
        <f>WBS!C45</f>
        <v/>
      </c>
      <c r="C45" s="9">
        <f>WBS!K45</f>
        <v/>
      </c>
      <c r="D45" s="9">
        <f>WBS!G45</f>
        <v/>
      </c>
      <c r="E45" s="9">
        <f>WBS!H45</f>
        <v/>
      </c>
      <c r="F45" s="9">
        <f>WBS!O45</f>
        <v/>
      </c>
      <c r="G45" s="14">
        <f>WBS!P45</f>
        <v/>
      </c>
      <c r="H45" s="9">
        <f>IF(AND(1&gt;=$D45,1&lt;=$E45),IF($F45="완료","●",IF($F45="진행중","▶",IF($F45="제외",".",IF($F45="보류","◇","■")))),"")</f>
        <v/>
      </c>
      <c r="I45" s="9">
        <f>IF(AND(2&gt;=$D45,2&lt;=$E45),IF($F45="완료","●",IF($F45="진행중","▶",IF($F45="제외",".",IF($F45="보류","◇","■")))),"")</f>
        <v/>
      </c>
      <c r="J45" s="9">
        <f>IF(AND(3&gt;=$D45,3&lt;=$E45),IF($F45="완료","●",IF($F45="진행중","▶",IF($F45="제외",".",IF($F45="보류","◇","■")))),"")</f>
        <v/>
      </c>
      <c r="K45" s="9">
        <f>IF(AND(4&gt;=$D45,4&lt;=$E45),IF($F45="완료","●",IF($F45="진행중","▶",IF($F45="제외",".",IF($F45="보류","◇","■")))),"")</f>
        <v/>
      </c>
      <c r="L45" s="9">
        <f>IF(AND(5&gt;=$D45,5&lt;=$E45),IF($F45="완료","●",IF($F45="진행중","▶",IF($F45="제외",".",IF($F45="보류","◇","■")))),"")</f>
        <v/>
      </c>
      <c r="M45" s="9">
        <f>IF(AND(6&gt;=$D45,6&lt;=$E45),IF($F45="완료","●",IF($F45="진행중","▶",IF($F45="제외",".",IF($F45="보류","◇","■")))),"")</f>
        <v/>
      </c>
      <c r="N45" s="9">
        <f>IF(AND(7&gt;=$D45,7&lt;=$E45),IF($F45="완료","●",IF($F45="진행중","▶",IF($F45="제외",".",IF($F45="보류","◇","■")))),"")</f>
        <v/>
      </c>
      <c r="O45" s="9">
        <f>IF(AND(8&gt;=$D45,8&lt;=$E45),IF($F45="완료","●",IF($F45="진행중","▶",IF($F45="제외",".",IF($F45="보류","◇","■")))),"")</f>
        <v/>
      </c>
      <c r="P45" s="9">
        <f>IF(AND(9&gt;=$D45,9&lt;=$E45),IF($F45="완료","●",IF($F45="진행중","▶",IF($F45="제외",".",IF($F45="보류","◇","■")))),"")</f>
        <v/>
      </c>
      <c r="Q45" s="9">
        <f>IF(AND(10&gt;=$D45,10&lt;=$E45),IF($F45="완료","●",IF($F45="진행중","▶",IF($F45="제외",".",IF($F45="보류","◇","■")))),"")</f>
        <v/>
      </c>
      <c r="R45" s="9">
        <f>IF(AND(11&gt;=$D45,11&lt;=$E45),IF($F45="완료","●",IF($F45="진행중","▶",IF($F45="제외",".",IF($F45="보류","◇","■")))),"")</f>
        <v/>
      </c>
      <c r="S45" s="9">
        <f>IF(AND(12&gt;=$D45,12&lt;=$E45),IF($F45="완료","●",IF($F45="진행중","▶",IF($F45="제외",".",IF($F45="보류","◇","■")))),"")</f>
        <v/>
      </c>
      <c r="T45" s="9">
        <f>IF(AND(13&gt;=$D45,13&lt;=$E45),IF($F45="완료","●",IF($F45="진행중","▶",IF($F45="제외",".",IF($F45="보류","◇","■")))),"")</f>
        <v/>
      </c>
      <c r="U45" s="9">
        <f>IF(AND(14&gt;=$D45,14&lt;=$E45),IF($F45="완료","●",IF($F45="진행중","▶",IF($F45="제외",".",IF($F45="보류","◇","■")))),"")</f>
        <v/>
      </c>
      <c r="V45" s="9">
        <f>IF(AND(15&gt;=$D45,15&lt;=$E45),IF($F45="완료","●",IF($F45="진행중","▶",IF($F45="제외",".",IF($F45="보류","◇","■")))),"")</f>
        <v/>
      </c>
    </row>
    <row r="46" outlineLevel="1" ht="18" customHeight="1">
      <c r="A46" s="35">
        <f>WBS!A46</f>
        <v/>
      </c>
      <c r="B46" s="36">
        <f>WBS!C46</f>
        <v/>
      </c>
      <c r="C46" s="35">
        <f>WBS!K46</f>
        <v/>
      </c>
      <c r="D46" s="35">
        <f>WBS!G46</f>
        <v/>
      </c>
      <c r="E46" s="35">
        <f>WBS!H46</f>
        <v/>
      </c>
      <c r="F46" s="35">
        <f>WBS!O46</f>
        <v/>
      </c>
      <c r="G46" s="37">
        <f>WBS!P46</f>
        <v/>
      </c>
      <c r="H46" s="9">
        <f>IF(AND(1&gt;=$D46,1&lt;=$E46),IF($F46="완료","●",IF($F46="진행중","▶",IF($F46="제외",".",IF($F46="보류","◇","■")))),"")</f>
        <v/>
      </c>
      <c r="I46" s="9">
        <f>IF(AND(2&gt;=$D46,2&lt;=$E46),IF($F46="완료","●",IF($F46="진행중","▶",IF($F46="제외",".",IF($F46="보류","◇","■")))),"")</f>
        <v/>
      </c>
      <c r="J46" s="9">
        <f>IF(AND(3&gt;=$D46,3&lt;=$E46),IF($F46="완료","●",IF($F46="진행중","▶",IF($F46="제외",".",IF($F46="보류","◇","■")))),"")</f>
        <v/>
      </c>
      <c r="K46" s="9">
        <f>IF(AND(4&gt;=$D46,4&lt;=$E46),IF($F46="완료","●",IF($F46="진행중","▶",IF($F46="제외",".",IF($F46="보류","◇","■")))),"")</f>
        <v/>
      </c>
      <c r="L46" s="9">
        <f>IF(AND(5&gt;=$D46,5&lt;=$E46),IF($F46="완료","●",IF($F46="진행중","▶",IF($F46="제외",".",IF($F46="보류","◇","■")))),"")</f>
        <v/>
      </c>
      <c r="M46" s="9">
        <f>IF(AND(6&gt;=$D46,6&lt;=$E46),IF($F46="완료","●",IF($F46="진행중","▶",IF($F46="제외",".",IF($F46="보류","◇","■")))),"")</f>
        <v/>
      </c>
      <c r="N46" s="9">
        <f>IF(AND(7&gt;=$D46,7&lt;=$E46),IF($F46="완료","●",IF($F46="진행중","▶",IF($F46="제외",".",IF($F46="보류","◇","■")))),"")</f>
        <v/>
      </c>
      <c r="O46" s="9">
        <f>IF(AND(8&gt;=$D46,8&lt;=$E46),IF($F46="완료","●",IF($F46="진행중","▶",IF($F46="제외",".",IF($F46="보류","◇","■")))),"")</f>
        <v/>
      </c>
      <c r="P46" s="9">
        <f>IF(AND(9&gt;=$D46,9&lt;=$E46),IF($F46="완료","●",IF($F46="진행중","▶",IF($F46="제외",".",IF($F46="보류","◇","■")))),"")</f>
        <v/>
      </c>
      <c r="Q46" s="9">
        <f>IF(AND(10&gt;=$D46,10&lt;=$E46),IF($F46="완료","●",IF($F46="진행중","▶",IF($F46="제외",".",IF($F46="보류","◇","■")))),"")</f>
        <v/>
      </c>
      <c r="R46" s="9">
        <f>IF(AND(11&gt;=$D46,11&lt;=$E46),IF($F46="완료","●",IF($F46="진행중","▶",IF($F46="제외",".",IF($F46="보류","◇","■")))),"")</f>
        <v/>
      </c>
      <c r="S46" s="9">
        <f>IF(AND(12&gt;=$D46,12&lt;=$E46),IF($F46="완료","●",IF($F46="진행중","▶",IF($F46="제외",".",IF($F46="보류","◇","■")))),"")</f>
        <v/>
      </c>
      <c r="T46" s="9">
        <f>IF(AND(13&gt;=$D46,13&lt;=$E46),IF($F46="완료","●",IF($F46="진행중","▶",IF($F46="제외",".",IF($F46="보류","◇","■")))),"")</f>
        <v/>
      </c>
      <c r="U46" s="9">
        <f>IF(AND(14&gt;=$D46,14&lt;=$E46),IF($F46="완료","●",IF($F46="진행중","▶",IF($F46="제외",".",IF($F46="보류","◇","■")))),"")</f>
        <v/>
      </c>
      <c r="V46" s="9">
        <f>IF(AND(15&gt;=$D46,15&lt;=$E46),IF($F46="완료","●",IF($F46="진행중","▶",IF($F46="제외",".",IF($F46="보류","◇","■")))),"")</f>
        <v/>
      </c>
    </row>
    <row r="47" outlineLevel="2" ht="18" customHeight="1">
      <c r="A47" s="9">
        <f>WBS!A47</f>
        <v/>
      </c>
      <c r="B47" s="21">
        <f>WBS!C47</f>
        <v/>
      </c>
      <c r="C47" s="9">
        <f>WBS!K47</f>
        <v/>
      </c>
      <c r="D47" s="9">
        <f>WBS!G47</f>
        <v/>
      </c>
      <c r="E47" s="9">
        <f>WBS!H47</f>
        <v/>
      </c>
      <c r="F47" s="9">
        <f>WBS!O47</f>
        <v/>
      </c>
      <c r="G47" s="14">
        <f>WBS!P47</f>
        <v/>
      </c>
      <c r="H47" s="9">
        <f>IF(AND(1&gt;=$D47,1&lt;=$E47),IF($F47="완료","●",IF($F47="진행중","▶",IF($F47="제외",".",IF($F47="보류","◇","■")))),"")</f>
        <v/>
      </c>
      <c r="I47" s="9">
        <f>IF(AND(2&gt;=$D47,2&lt;=$E47),IF($F47="완료","●",IF($F47="진행중","▶",IF($F47="제외",".",IF($F47="보류","◇","■")))),"")</f>
        <v/>
      </c>
      <c r="J47" s="9">
        <f>IF(AND(3&gt;=$D47,3&lt;=$E47),IF($F47="완료","●",IF($F47="진행중","▶",IF($F47="제외",".",IF($F47="보류","◇","■")))),"")</f>
        <v/>
      </c>
      <c r="K47" s="9">
        <f>IF(AND(4&gt;=$D47,4&lt;=$E47),IF($F47="완료","●",IF($F47="진행중","▶",IF($F47="제외",".",IF($F47="보류","◇","■")))),"")</f>
        <v/>
      </c>
      <c r="L47" s="9">
        <f>IF(AND(5&gt;=$D47,5&lt;=$E47),IF($F47="완료","●",IF($F47="진행중","▶",IF($F47="제외",".",IF($F47="보류","◇","■")))),"")</f>
        <v/>
      </c>
      <c r="M47" s="9">
        <f>IF(AND(6&gt;=$D47,6&lt;=$E47),IF($F47="완료","●",IF($F47="진행중","▶",IF($F47="제외",".",IF($F47="보류","◇","■")))),"")</f>
        <v/>
      </c>
      <c r="N47" s="9">
        <f>IF(AND(7&gt;=$D47,7&lt;=$E47),IF($F47="완료","●",IF($F47="진행중","▶",IF($F47="제외",".",IF($F47="보류","◇","■")))),"")</f>
        <v/>
      </c>
      <c r="O47" s="9">
        <f>IF(AND(8&gt;=$D47,8&lt;=$E47),IF($F47="완료","●",IF($F47="진행중","▶",IF($F47="제외",".",IF($F47="보류","◇","■")))),"")</f>
        <v/>
      </c>
      <c r="P47" s="9">
        <f>IF(AND(9&gt;=$D47,9&lt;=$E47),IF($F47="완료","●",IF($F47="진행중","▶",IF($F47="제외",".",IF($F47="보류","◇","■")))),"")</f>
        <v/>
      </c>
      <c r="Q47" s="9">
        <f>IF(AND(10&gt;=$D47,10&lt;=$E47),IF($F47="완료","●",IF($F47="진행중","▶",IF($F47="제외",".",IF($F47="보류","◇","■")))),"")</f>
        <v/>
      </c>
      <c r="R47" s="9">
        <f>IF(AND(11&gt;=$D47,11&lt;=$E47),IF($F47="완료","●",IF($F47="진행중","▶",IF($F47="제외",".",IF($F47="보류","◇","■")))),"")</f>
        <v/>
      </c>
      <c r="S47" s="9">
        <f>IF(AND(12&gt;=$D47,12&lt;=$E47),IF($F47="완료","●",IF($F47="진행중","▶",IF($F47="제외",".",IF($F47="보류","◇","■")))),"")</f>
        <v/>
      </c>
      <c r="T47" s="9">
        <f>IF(AND(13&gt;=$D47,13&lt;=$E47),IF($F47="완료","●",IF($F47="진행중","▶",IF($F47="제외",".",IF($F47="보류","◇","■")))),"")</f>
        <v/>
      </c>
      <c r="U47" s="9">
        <f>IF(AND(14&gt;=$D47,14&lt;=$E47),IF($F47="완료","●",IF($F47="진행중","▶",IF($F47="제외",".",IF($F47="보류","◇","■")))),"")</f>
        <v/>
      </c>
      <c r="V47" s="9">
        <f>IF(AND(15&gt;=$D47,15&lt;=$E47),IF($F47="완료","●",IF($F47="진행중","▶",IF($F47="제외",".",IF($F47="보류","◇","■")))),"")</f>
        <v/>
      </c>
    </row>
    <row r="48" outlineLevel="2" ht="18" customHeight="1">
      <c r="A48" s="9">
        <f>WBS!A48</f>
        <v/>
      </c>
      <c r="B48" s="21">
        <f>WBS!C48</f>
        <v/>
      </c>
      <c r="C48" s="9">
        <f>WBS!K48</f>
        <v/>
      </c>
      <c r="D48" s="9">
        <f>WBS!G48</f>
        <v/>
      </c>
      <c r="E48" s="9">
        <f>WBS!H48</f>
        <v/>
      </c>
      <c r="F48" s="9">
        <f>WBS!O48</f>
        <v/>
      </c>
      <c r="G48" s="14">
        <f>WBS!P48</f>
        <v/>
      </c>
      <c r="H48" s="9">
        <f>IF(AND(1&gt;=$D48,1&lt;=$E48),IF($F48="완료","●",IF($F48="진행중","▶",IF($F48="제외",".",IF($F48="보류","◇","■")))),"")</f>
        <v/>
      </c>
      <c r="I48" s="9">
        <f>IF(AND(2&gt;=$D48,2&lt;=$E48),IF($F48="완료","●",IF($F48="진행중","▶",IF($F48="제외",".",IF($F48="보류","◇","■")))),"")</f>
        <v/>
      </c>
      <c r="J48" s="9">
        <f>IF(AND(3&gt;=$D48,3&lt;=$E48),IF($F48="완료","●",IF($F48="진행중","▶",IF($F48="제외",".",IF($F48="보류","◇","■")))),"")</f>
        <v/>
      </c>
      <c r="K48" s="9">
        <f>IF(AND(4&gt;=$D48,4&lt;=$E48),IF($F48="완료","●",IF($F48="진행중","▶",IF($F48="제외",".",IF($F48="보류","◇","■")))),"")</f>
        <v/>
      </c>
      <c r="L48" s="9">
        <f>IF(AND(5&gt;=$D48,5&lt;=$E48),IF($F48="완료","●",IF($F48="진행중","▶",IF($F48="제외",".",IF($F48="보류","◇","■")))),"")</f>
        <v/>
      </c>
      <c r="M48" s="9">
        <f>IF(AND(6&gt;=$D48,6&lt;=$E48),IF($F48="완료","●",IF($F48="진행중","▶",IF($F48="제외",".",IF($F48="보류","◇","■")))),"")</f>
        <v/>
      </c>
      <c r="N48" s="9">
        <f>IF(AND(7&gt;=$D48,7&lt;=$E48),IF($F48="완료","●",IF($F48="진행중","▶",IF($F48="제외",".",IF($F48="보류","◇","■")))),"")</f>
        <v/>
      </c>
      <c r="O48" s="9">
        <f>IF(AND(8&gt;=$D48,8&lt;=$E48),IF($F48="완료","●",IF($F48="진행중","▶",IF($F48="제외",".",IF($F48="보류","◇","■")))),"")</f>
        <v/>
      </c>
      <c r="P48" s="9">
        <f>IF(AND(9&gt;=$D48,9&lt;=$E48),IF($F48="완료","●",IF($F48="진행중","▶",IF($F48="제외",".",IF($F48="보류","◇","■")))),"")</f>
        <v/>
      </c>
      <c r="Q48" s="9">
        <f>IF(AND(10&gt;=$D48,10&lt;=$E48),IF($F48="완료","●",IF($F48="진행중","▶",IF($F48="제외",".",IF($F48="보류","◇","■")))),"")</f>
        <v/>
      </c>
      <c r="R48" s="9">
        <f>IF(AND(11&gt;=$D48,11&lt;=$E48),IF($F48="완료","●",IF($F48="진행중","▶",IF($F48="제외",".",IF($F48="보류","◇","■")))),"")</f>
        <v/>
      </c>
      <c r="S48" s="9">
        <f>IF(AND(12&gt;=$D48,12&lt;=$E48),IF($F48="완료","●",IF($F48="진행중","▶",IF($F48="제외",".",IF($F48="보류","◇","■")))),"")</f>
        <v/>
      </c>
      <c r="T48" s="9">
        <f>IF(AND(13&gt;=$D48,13&lt;=$E48),IF($F48="완료","●",IF($F48="진행중","▶",IF($F48="제외",".",IF($F48="보류","◇","■")))),"")</f>
        <v/>
      </c>
      <c r="U48" s="9">
        <f>IF(AND(14&gt;=$D48,14&lt;=$E48),IF($F48="완료","●",IF($F48="진행중","▶",IF($F48="제외",".",IF($F48="보류","◇","■")))),"")</f>
        <v/>
      </c>
      <c r="V48" s="9">
        <f>IF(AND(15&gt;=$D48,15&lt;=$E48),IF($F48="완료","●",IF($F48="진행중","▶",IF($F48="제외",".",IF($F48="보류","◇","■")))),"")</f>
        <v/>
      </c>
    </row>
    <row r="49" outlineLevel="2" ht="18" customHeight="1">
      <c r="A49" s="9">
        <f>WBS!A49</f>
        <v/>
      </c>
      <c r="B49" s="21">
        <f>WBS!C49</f>
        <v/>
      </c>
      <c r="C49" s="9">
        <f>WBS!K49</f>
        <v/>
      </c>
      <c r="D49" s="9">
        <f>WBS!G49</f>
        <v/>
      </c>
      <c r="E49" s="9">
        <f>WBS!H49</f>
        <v/>
      </c>
      <c r="F49" s="9">
        <f>WBS!O49</f>
        <v/>
      </c>
      <c r="G49" s="14">
        <f>WBS!P49</f>
        <v/>
      </c>
      <c r="H49" s="9">
        <f>IF(AND(1&gt;=$D49,1&lt;=$E49),IF($F49="완료","●",IF($F49="진행중","▶",IF($F49="제외",".",IF($F49="보류","◇","■")))),"")</f>
        <v/>
      </c>
      <c r="I49" s="9">
        <f>IF(AND(2&gt;=$D49,2&lt;=$E49),IF($F49="완료","●",IF($F49="진행중","▶",IF($F49="제외",".",IF($F49="보류","◇","■")))),"")</f>
        <v/>
      </c>
      <c r="J49" s="9">
        <f>IF(AND(3&gt;=$D49,3&lt;=$E49),IF($F49="완료","●",IF($F49="진행중","▶",IF($F49="제외",".",IF($F49="보류","◇","■")))),"")</f>
        <v/>
      </c>
      <c r="K49" s="9">
        <f>IF(AND(4&gt;=$D49,4&lt;=$E49),IF($F49="완료","●",IF($F49="진행중","▶",IF($F49="제외",".",IF($F49="보류","◇","■")))),"")</f>
        <v/>
      </c>
      <c r="L49" s="9">
        <f>IF(AND(5&gt;=$D49,5&lt;=$E49),IF($F49="완료","●",IF($F49="진행중","▶",IF($F49="제외",".",IF($F49="보류","◇","■")))),"")</f>
        <v/>
      </c>
      <c r="M49" s="9">
        <f>IF(AND(6&gt;=$D49,6&lt;=$E49),IF($F49="완료","●",IF($F49="진행중","▶",IF($F49="제외",".",IF($F49="보류","◇","■")))),"")</f>
        <v/>
      </c>
      <c r="N49" s="9">
        <f>IF(AND(7&gt;=$D49,7&lt;=$E49),IF($F49="완료","●",IF($F49="진행중","▶",IF($F49="제외",".",IF($F49="보류","◇","■")))),"")</f>
        <v/>
      </c>
      <c r="O49" s="9">
        <f>IF(AND(8&gt;=$D49,8&lt;=$E49),IF($F49="완료","●",IF($F49="진행중","▶",IF($F49="제외",".",IF($F49="보류","◇","■")))),"")</f>
        <v/>
      </c>
      <c r="P49" s="9">
        <f>IF(AND(9&gt;=$D49,9&lt;=$E49),IF($F49="완료","●",IF($F49="진행중","▶",IF($F49="제외",".",IF($F49="보류","◇","■")))),"")</f>
        <v/>
      </c>
      <c r="Q49" s="9">
        <f>IF(AND(10&gt;=$D49,10&lt;=$E49),IF($F49="완료","●",IF($F49="진행중","▶",IF($F49="제외",".",IF($F49="보류","◇","■")))),"")</f>
        <v/>
      </c>
      <c r="R49" s="9">
        <f>IF(AND(11&gt;=$D49,11&lt;=$E49),IF($F49="완료","●",IF($F49="진행중","▶",IF($F49="제외",".",IF($F49="보류","◇","■")))),"")</f>
        <v/>
      </c>
      <c r="S49" s="9">
        <f>IF(AND(12&gt;=$D49,12&lt;=$E49),IF($F49="완료","●",IF($F49="진행중","▶",IF($F49="제외",".",IF($F49="보류","◇","■")))),"")</f>
        <v/>
      </c>
      <c r="T49" s="9">
        <f>IF(AND(13&gt;=$D49,13&lt;=$E49),IF($F49="완료","●",IF($F49="진행중","▶",IF($F49="제외",".",IF($F49="보류","◇","■")))),"")</f>
        <v/>
      </c>
      <c r="U49" s="9">
        <f>IF(AND(14&gt;=$D49,14&lt;=$E49),IF($F49="완료","●",IF($F49="진행중","▶",IF($F49="제외",".",IF($F49="보류","◇","■")))),"")</f>
        <v/>
      </c>
      <c r="V49" s="9">
        <f>IF(AND(15&gt;=$D49,15&lt;=$E49),IF($F49="완료","●",IF($F49="진행중","▶",IF($F49="제외",".",IF($F49="보류","◇","■")))),"")</f>
        <v/>
      </c>
    </row>
    <row r="50" outlineLevel="2" ht="18" customHeight="1">
      <c r="A50" s="9">
        <f>WBS!A50</f>
        <v/>
      </c>
      <c r="B50" s="21">
        <f>WBS!C50</f>
        <v/>
      </c>
      <c r="C50" s="9">
        <f>WBS!K50</f>
        <v/>
      </c>
      <c r="D50" s="9">
        <f>WBS!G50</f>
        <v/>
      </c>
      <c r="E50" s="9">
        <f>WBS!H50</f>
        <v/>
      </c>
      <c r="F50" s="9">
        <f>WBS!O50</f>
        <v/>
      </c>
      <c r="G50" s="14">
        <f>WBS!P50</f>
        <v/>
      </c>
      <c r="H50" s="9">
        <f>IF(AND(1&gt;=$D50,1&lt;=$E50),IF($F50="완료","●",IF($F50="진행중","▶",IF($F50="제외",".",IF($F50="보류","◇","■")))),"")</f>
        <v/>
      </c>
      <c r="I50" s="9">
        <f>IF(AND(2&gt;=$D50,2&lt;=$E50),IF($F50="완료","●",IF($F50="진행중","▶",IF($F50="제외",".",IF($F50="보류","◇","■")))),"")</f>
        <v/>
      </c>
      <c r="J50" s="9">
        <f>IF(AND(3&gt;=$D50,3&lt;=$E50),IF($F50="완료","●",IF($F50="진행중","▶",IF($F50="제외",".",IF($F50="보류","◇","■")))),"")</f>
        <v/>
      </c>
      <c r="K50" s="9">
        <f>IF(AND(4&gt;=$D50,4&lt;=$E50),IF($F50="완료","●",IF($F50="진행중","▶",IF($F50="제외",".",IF($F50="보류","◇","■")))),"")</f>
        <v/>
      </c>
      <c r="L50" s="9">
        <f>IF(AND(5&gt;=$D50,5&lt;=$E50),IF($F50="완료","●",IF($F50="진행중","▶",IF($F50="제외",".",IF($F50="보류","◇","■")))),"")</f>
        <v/>
      </c>
      <c r="M50" s="9">
        <f>IF(AND(6&gt;=$D50,6&lt;=$E50),IF($F50="완료","●",IF($F50="진행중","▶",IF($F50="제외",".",IF($F50="보류","◇","■")))),"")</f>
        <v/>
      </c>
      <c r="N50" s="9">
        <f>IF(AND(7&gt;=$D50,7&lt;=$E50),IF($F50="완료","●",IF($F50="진행중","▶",IF($F50="제외",".",IF($F50="보류","◇","■")))),"")</f>
        <v/>
      </c>
      <c r="O50" s="9">
        <f>IF(AND(8&gt;=$D50,8&lt;=$E50),IF($F50="완료","●",IF($F50="진행중","▶",IF($F50="제외",".",IF($F50="보류","◇","■")))),"")</f>
        <v/>
      </c>
      <c r="P50" s="9">
        <f>IF(AND(9&gt;=$D50,9&lt;=$E50),IF($F50="완료","●",IF($F50="진행중","▶",IF($F50="제외",".",IF($F50="보류","◇","■")))),"")</f>
        <v/>
      </c>
      <c r="Q50" s="9">
        <f>IF(AND(10&gt;=$D50,10&lt;=$E50),IF($F50="완료","●",IF($F50="진행중","▶",IF($F50="제외",".",IF($F50="보류","◇","■")))),"")</f>
        <v/>
      </c>
      <c r="R50" s="9">
        <f>IF(AND(11&gt;=$D50,11&lt;=$E50),IF($F50="완료","●",IF($F50="진행중","▶",IF($F50="제외",".",IF($F50="보류","◇","■")))),"")</f>
        <v/>
      </c>
      <c r="S50" s="9">
        <f>IF(AND(12&gt;=$D50,12&lt;=$E50),IF($F50="완료","●",IF($F50="진행중","▶",IF($F50="제외",".",IF($F50="보류","◇","■")))),"")</f>
        <v/>
      </c>
      <c r="T50" s="9">
        <f>IF(AND(13&gt;=$D50,13&lt;=$E50),IF($F50="완료","●",IF($F50="진행중","▶",IF($F50="제외",".",IF($F50="보류","◇","■")))),"")</f>
        <v/>
      </c>
      <c r="U50" s="9">
        <f>IF(AND(14&gt;=$D50,14&lt;=$E50),IF($F50="완료","●",IF($F50="진행중","▶",IF($F50="제외",".",IF($F50="보류","◇","■")))),"")</f>
        <v/>
      </c>
      <c r="V50" s="9">
        <f>IF(AND(15&gt;=$D50,15&lt;=$E50),IF($F50="완료","●",IF($F50="진행중","▶",IF($F50="제외",".",IF($F50="보류","◇","■")))),"")</f>
        <v/>
      </c>
    </row>
    <row r="51" outlineLevel="2" ht="18" customHeight="1">
      <c r="A51" s="9">
        <f>WBS!A51</f>
        <v/>
      </c>
      <c r="B51" s="21">
        <f>WBS!C51</f>
        <v/>
      </c>
      <c r="C51" s="9">
        <f>WBS!K51</f>
        <v/>
      </c>
      <c r="D51" s="9">
        <f>WBS!G51</f>
        <v/>
      </c>
      <c r="E51" s="9">
        <f>WBS!H51</f>
        <v/>
      </c>
      <c r="F51" s="9">
        <f>WBS!O51</f>
        <v/>
      </c>
      <c r="G51" s="14">
        <f>WBS!P51</f>
        <v/>
      </c>
      <c r="H51" s="9">
        <f>IF(AND(1&gt;=$D51,1&lt;=$E51),IF($F51="완료","●",IF($F51="진행중","▶",IF($F51="제외",".",IF($F51="보류","◇","■")))),"")</f>
        <v/>
      </c>
      <c r="I51" s="9">
        <f>IF(AND(2&gt;=$D51,2&lt;=$E51),IF($F51="완료","●",IF($F51="진행중","▶",IF($F51="제외",".",IF($F51="보류","◇","■")))),"")</f>
        <v/>
      </c>
      <c r="J51" s="9">
        <f>IF(AND(3&gt;=$D51,3&lt;=$E51),IF($F51="완료","●",IF($F51="진행중","▶",IF($F51="제외",".",IF($F51="보류","◇","■")))),"")</f>
        <v/>
      </c>
      <c r="K51" s="9">
        <f>IF(AND(4&gt;=$D51,4&lt;=$E51),IF($F51="완료","●",IF($F51="진행중","▶",IF($F51="제외",".",IF($F51="보류","◇","■")))),"")</f>
        <v/>
      </c>
      <c r="L51" s="9">
        <f>IF(AND(5&gt;=$D51,5&lt;=$E51),IF($F51="완료","●",IF($F51="진행중","▶",IF($F51="제외",".",IF($F51="보류","◇","■")))),"")</f>
        <v/>
      </c>
      <c r="M51" s="9">
        <f>IF(AND(6&gt;=$D51,6&lt;=$E51),IF($F51="완료","●",IF($F51="진행중","▶",IF($F51="제외",".",IF($F51="보류","◇","■")))),"")</f>
        <v/>
      </c>
      <c r="N51" s="9">
        <f>IF(AND(7&gt;=$D51,7&lt;=$E51),IF($F51="완료","●",IF($F51="진행중","▶",IF($F51="제외",".",IF($F51="보류","◇","■")))),"")</f>
        <v/>
      </c>
      <c r="O51" s="9">
        <f>IF(AND(8&gt;=$D51,8&lt;=$E51),IF($F51="완료","●",IF($F51="진행중","▶",IF($F51="제외",".",IF($F51="보류","◇","■")))),"")</f>
        <v/>
      </c>
      <c r="P51" s="9">
        <f>IF(AND(9&gt;=$D51,9&lt;=$E51),IF($F51="완료","●",IF($F51="진행중","▶",IF($F51="제외",".",IF($F51="보류","◇","■")))),"")</f>
        <v/>
      </c>
      <c r="Q51" s="9">
        <f>IF(AND(10&gt;=$D51,10&lt;=$E51),IF($F51="완료","●",IF($F51="진행중","▶",IF($F51="제외",".",IF($F51="보류","◇","■")))),"")</f>
        <v/>
      </c>
      <c r="R51" s="9">
        <f>IF(AND(11&gt;=$D51,11&lt;=$E51),IF($F51="완료","●",IF($F51="진행중","▶",IF($F51="제외",".",IF($F51="보류","◇","■")))),"")</f>
        <v/>
      </c>
      <c r="S51" s="9">
        <f>IF(AND(12&gt;=$D51,12&lt;=$E51),IF($F51="완료","●",IF($F51="진행중","▶",IF($F51="제외",".",IF($F51="보류","◇","■")))),"")</f>
        <v/>
      </c>
      <c r="T51" s="9">
        <f>IF(AND(13&gt;=$D51,13&lt;=$E51),IF($F51="완료","●",IF($F51="진행중","▶",IF($F51="제외",".",IF($F51="보류","◇","■")))),"")</f>
        <v/>
      </c>
      <c r="U51" s="9">
        <f>IF(AND(14&gt;=$D51,14&lt;=$E51),IF($F51="완료","●",IF($F51="진행중","▶",IF($F51="제외",".",IF($F51="보류","◇","■")))),"")</f>
        <v/>
      </c>
      <c r="V51" s="9">
        <f>IF(AND(15&gt;=$D51,15&lt;=$E51),IF($F51="완료","●",IF($F51="진행중","▶",IF($F51="제외",".",IF($F51="보류","◇","■")))),"")</f>
        <v/>
      </c>
    </row>
    <row r="52" outlineLevel="2" ht="18" customHeight="1">
      <c r="A52" s="9">
        <f>WBS!A52</f>
        <v/>
      </c>
      <c r="B52" s="21">
        <f>WBS!C52</f>
        <v/>
      </c>
      <c r="C52" s="9">
        <f>WBS!K52</f>
        <v/>
      </c>
      <c r="D52" s="9">
        <f>WBS!G52</f>
        <v/>
      </c>
      <c r="E52" s="9">
        <f>WBS!H52</f>
        <v/>
      </c>
      <c r="F52" s="9">
        <f>WBS!O52</f>
        <v/>
      </c>
      <c r="G52" s="14">
        <f>WBS!P52</f>
        <v/>
      </c>
      <c r="H52" s="9">
        <f>IF(AND(1&gt;=$D52,1&lt;=$E52),IF($F52="완료","●",IF($F52="진행중","▶",IF($F52="제외",".",IF($F52="보류","◇","■")))),"")</f>
        <v/>
      </c>
      <c r="I52" s="9">
        <f>IF(AND(2&gt;=$D52,2&lt;=$E52),IF($F52="완료","●",IF($F52="진행중","▶",IF($F52="제외",".",IF($F52="보류","◇","■")))),"")</f>
        <v/>
      </c>
      <c r="J52" s="9">
        <f>IF(AND(3&gt;=$D52,3&lt;=$E52),IF($F52="완료","●",IF($F52="진행중","▶",IF($F52="제외",".",IF($F52="보류","◇","■")))),"")</f>
        <v/>
      </c>
      <c r="K52" s="9">
        <f>IF(AND(4&gt;=$D52,4&lt;=$E52),IF($F52="완료","●",IF($F52="진행중","▶",IF($F52="제외",".",IF($F52="보류","◇","■")))),"")</f>
        <v/>
      </c>
      <c r="L52" s="9">
        <f>IF(AND(5&gt;=$D52,5&lt;=$E52),IF($F52="완료","●",IF($F52="진행중","▶",IF($F52="제외",".",IF($F52="보류","◇","■")))),"")</f>
        <v/>
      </c>
      <c r="M52" s="9">
        <f>IF(AND(6&gt;=$D52,6&lt;=$E52),IF($F52="완료","●",IF($F52="진행중","▶",IF($F52="제외",".",IF($F52="보류","◇","■")))),"")</f>
        <v/>
      </c>
      <c r="N52" s="9">
        <f>IF(AND(7&gt;=$D52,7&lt;=$E52),IF($F52="완료","●",IF($F52="진행중","▶",IF($F52="제외",".",IF($F52="보류","◇","■")))),"")</f>
        <v/>
      </c>
      <c r="O52" s="9">
        <f>IF(AND(8&gt;=$D52,8&lt;=$E52),IF($F52="완료","●",IF($F52="진행중","▶",IF($F52="제외",".",IF($F52="보류","◇","■")))),"")</f>
        <v/>
      </c>
      <c r="P52" s="9">
        <f>IF(AND(9&gt;=$D52,9&lt;=$E52),IF($F52="완료","●",IF($F52="진행중","▶",IF($F52="제외",".",IF($F52="보류","◇","■")))),"")</f>
        <v/>
      </c>
      <c r="Q52" s="9">
        <f>IF(AND(10&gt;=$D52,10&lt;=$E52),IF($F52="완료","●",IF($F52="진행중","▶",IF($F52="제외",".",IF($F52="보류","◇","■")))),"")</f>
        <v/>
      </c>
      <c r="R52" s="9">
        <f>IF(AND(11&gt;=$D52,11&lt;=$E52),IF($F52="완료","●",IF($F52="진행중","▶",IF($F52="제외",".",IF($F52="보류","◇","■")))),"")</f>
        <v/>
      </c>
      <c r="S52" s="9">
        <f>IF(AND(12&gt;=$D52,12&lt;=$E52),IF($F52="완료","●",IF($F52="진행중","▶",IF($F52="제외",".",IF($F52="보류","◇","■")))),"")</f>
        <v/>
      </c>
      <c r="T52" s="9">
        <f>IF(AND(13&gt;=$D52,13&lt;=$E52),IF($F52="완료","●",IF($F52="진행중","▶",IF($F52="제외",".",IF($F52="보류","◇","■")))),"")</f>
        <v/>
      </c>
      <c r="U52" s="9">
        <f>IF(AND(14&gt;=$D52,14&lt;=$E52),IF($F52="완료","●",IF($F52="진행중","▶",IF($F52="제외",".",IF($F52="보류","◇","■")))),"")</f>
        <v/>
      </c>
      <c r="V52" s="9">
        <f>IF(AND(15&gt;=$D52,15&lt;=$E52),IF($F52="완료","●",IF($F52="진행중","▶",IF($F52="제외",".",IF($F52="보류","◇","■")))),"")</f>
        <v/>
      </c>
    </row>
    <row r="53" outlineLevel="2" ht="18" customHeight="1">
      <c r="A53" s="9">
        <f>WBS!A53</f>
        <v/>
      </c>
      <c r="B53" s="21">
        <f>WBS!C53</f>
        <v/>
      </c>
      <c r="C53" s="9">
        <f>WBS!K53</f>
        <v/>
      </c>
      <c r="D53" s="9">
        <f>WBS!G53</f>
        <v/>
      </c>
      <c r="E53" s="9">
        <f>WBS!H53</f>
        <v/>
      </c>
      <c r="F53" s="9">
        <f>WBS!O53</f>
        <v/>
      </c>
      <c r="G53" s="14">
        <f>WBS!P53</f>
        <v/>
      </c>
      <c r="H53" s="9">
        <f>IF(AND(1&gt;=$D53,1&lt;=$E53),IF($F53="완료","●",IF($F53="진행중","▶",IF($F53="제외",".",IF($F53="보류","◇","■")))),"")</f>
        <v/>
      </c>
      <c r="I53" s="9">
        <f>IF(AND(2&gt;=$D53,2&lt;=$E53),IF($F53="완료","●",IF($F53="진행중","▶",IF($F53="제외",".",IF($F53="보류","◇","■")))),"")</f>
        <v/>
      </c>
      <c r="J53" s="9">
        <f>IF(AND(3&gt;=$D53,3&lt;=$E53),IF($F53="완료","●",IF($F53="진행중","▶",IF($F53="제외",".",IF($F53="보류","◇","■")))),"")</f>
        <v/>
      </c>
      <c r="K53" s="9">
        <f>IF(AND(4&gt;=$D53,4&lt;=$E53),IF($F53="완료","●",IF($F53="진행중","▶",IF($F53="제외",".",IF($F53="보류","◇","■")))),"")</f>
        <v/>
      </c>
      <c r="L53" s="9">
        <f>IF(AND(5&gt;=$D53,5&lt;=$E53),IF($F53="완료","●",IF($F53="진행중","▶",IF($F53="제외",".",IF($F53="보류","◇","■")))),"")</f>
        <v/>
      </c>
      <c r="M53" s="9">
        <f>IF(AND(6&gt;=$D53,6&lt;=$E53),IF($F53="완료","●",IF($F53="진행중","▶",IF($F53="제외",".",IF($F53="보류","◇","■")))),"")</f>
        <v/>
      </c>
      <c r="N53" s="9">
        <f>IF(AND(7&gt;=$D53,7&lt;=$E53),IF($F53="완료","●",IF($F53="진행중","▶",IF($F53="제외",".",IF($F53="보류","◇","■")))),"")</f>
        <v/>
      </c>
      <c r="O53" s="9">
        <f>IF(AND(8&gt;=$D53,8&lt;=$E53),IF($F53="완료","●",IF($F53="진행중","▶",IF($F53="제외",".",IF($F53="보류","◇","■")))),"")</f>
        <v/>
      </c>
      <c r="P53" s="9">
        <f>IF(AND(9&gt;=$D53,9&lt;=$E53),IF($F53="완료","●",IF($F53="진행중","▶",IF($F53="제외",".",IF($F53="보류","◇","■")))),"")</f>
        <v/>
      </c>
      <c r="Q53" s="9">
        <f>IF(AND(10&gt;=$D53,10&lt;=$E53),IF($F53="완료","●",IF($F53="진행중","▶",IF($F53="제외",".",IF($F53="보류","◇","■")))),"")</f>
        <v/>
      </c>
      <c r="R53" s="9">
        <f>IF(AND(11&gt;=$D53,11&lt;=$E53),IF($F53="완료","●",IF($F53="진행중","▶",IF($F53="제외",".",IF($F53="보류","◇","■")))),"")</f>
        <v/>
      </c>
      <c r="S53" s="9">
        <f>IF(AND(12&gt;=$D53,12&lt;=$E53),IF($F53="완료","●",IF($F53="진행중","▶",IF($F53="제외",".",IF($F53="보류","◇","■")))),"")</f>
        <v/>
      </c>
      <c r="T53" s="9">
        <f>IF(AND(13&gt;=$D53,13&lt;=$E53),IF($F53="완료","●",IF($F53="진행중","▶",IF($F53="제외",".",IF($F53="보류","◇","■")))),"")</f>
        <v/>
      </c>
      <c r="U53" s="9">
        <f>IF(AND(14&gt;=$D53,14&lt;=$E53),IF($F53="완료","●",IF($F53="진행중","▶",IF($F53="제외",".",IF($F53="보류","◇","■")))),"")</f>
        <v/>
      </c>
      <c r="V53" s="9">
        <f>IF(AND(15&gt;=$D53,15&lt;=$E53),IF($F53="완료","●",IF($F53="진행중","▶",IF($F53="제외",".",IF($F53="보류","◇","■")))),"")</f>
        <v/>
      </c>
    </row>
    <row r="54" outlineLevel="1" ht="18" customHeight="1">
      <c r="A54" s="35">
        <f>WBS!A54</f>
        <v/>
      </c>
      <c r="B54" s="36">
        <f>WBS!C54</f>
        <v/>
      </c>
      <c r="C54" s="35">
        <f>WBS!K54</f>
        <v/>
      </c>
      <c r="D54" s="35">
        <f>WBS!G54</f>
        <v/>
      </c>
      <c r="E54" s="35">
        <f>WBS!H54</f>
        <v/>
      </c>
      <c r="F54" s="35">
        <f>WBS!O54</f>
        <v/>
      </c>
      <c r="G54" s="37">
        <f>WBS!P54</f>
        <v/>
      </c>
      <c r="H54" s="9">
        <f>IF(AND(1&gt;=$D54,1&lt;=$E54),IF($F54="완료","●",IF($F54="진행중","▶",IF($F54="제외",".",IF($F54="보류","◇","■")))),"")</f>
        <v/>
      </c>
      <c r="I54" s="9">
        <f>IF(AND(2&gt;=$D54,2&lt;=$E54),IF($F54="완료","●",IF($F54="진행중","▶",IF($F54="제외",".",IF($F54="보류","◇","■")))),"")</f>
        <v/>
      </c>
      <c r="J54" s="9">
        <f>IF(AND(3&gt;=$D54,3&lt;=$E54),IF($F54="완료","●",IF($F54="진행중","▶",IF($F54="제외",".",IF($F54="보류","◇","■")))),"")</f>
        <v/>
      </c>
      <c r="K54" s="9">
        <f>IF(AND(4&gt;=$D54,4&lt;=$E54),IF($F54="완료","●",IF($F54="진행중","▶",IF($F54="제외",".",IF($F54="보류","◇","■")))),"")</f>
        <v/>
      </c>
      <c r="L54" s="9">
        <f>IF(AND(5&gt;=$D54,5&lt;=$E54),IF($F54="완료","●",IF($F54="진행중","▶",IF($F54="제외",".",IF($F54="보류","◇","■")))),"")</f>
        <v/>
      </c>
      <c r="M54" s="9">
        <f>IF(AND(6&gt;=$D54,6&lt;=$E54),IF($F54="완료","●",IF($F54="진행중","▶",IF($F54="제외",".",IF($F54="보류","◇","■")))),"")</f>
        <v/>
      </c>
      <c r="N54" s="9">
        <f>IF(AND(7&gt;=$D54,7&lt;=$E54),IF($F54="완료","●",IF($F54="진행중","▶",IF($F54="제외",".",IF($F54="보류","◇","■")))),"")</f>
        <v/>
      </c>
      <c r="O54" s="9">
        <f>IF(AND(8&gt;=$D54,8&lt;=$E54),IF($F54="완료","●",IF($F54="진행중","▶",IF($F54="제외",".",IF($F54="보류","◇","■")))),"")</f>
        <v/>
      </c>
      <c r="P54" s="9">
        <f>IF(AND(9&gt;=$D54,9&lt;=$E54),IF($F54="완료","●",IF($F54="진행중","▶",IF($F54="제외",".",IF($F54="보류","◇","■")))),"")</f>
        <v/>
      </c>
      <c r="Q54" s="9">
        <f>IF(AND(10&gt;=$D54,10&lt;=$E54),IF($F54="완료","●",IF($F54="진행중","▶",IF($F54="제외",".",IF($F54="보류","◇","■")))),"")</f>
        <v/>
      </c>
      <c r="R54" s="9">
        <f>IF(AND(11&gt;=$D54,11&lt;=$E54),IF($F54="완료","●",IF($F54="진행중","▶",IF($F54="제외",".",IF($F54="보류","◇","■")))),"")</f>
        <v/>
      </c>
      <c r="S54" s="9">
        <f>IF(AND(12&gt;=$D54,12&lt;=$E54),IF($F54="완료","●",IF($F54="진행중","▶",IF($F54="제외",".",IF($F54="보류","◇","■")))),"")</f>
        <v/>
      </c>
      <c r="T54" s="9">
        <f>IF(AND(13&gt;=$D54,13&lt;=$E54),IF($F54="완료","●",IF($F54="진행중","▶",IF($F54="제외",".",IF($F54="보류","◇","■")))),"")</f>
        <v/>
      </c>
      <c r="U54" s="9">
        <f>IF(AND(14&gt;=$D54,14&lt;=$E54),IF($F54="완료","●",IF($F54="진행중","▶",IF($F54="제외",".",IF($F54="보류","◇","■")))),"")</f>
        <v/>
      </c>
      <c r="V54" s="9">
        <f>IF(AND(15&gt;=$D54,15&lt;=$E54),IF($F54="완료","●",IF($F54="진행중","▶",IF($F54="제외",".",IF($F54="보류","◇","■")))),"")</f>
        <v/>
      </c>
    </row>
    <row r="55" outlineLevel="2" ht="18" customHeight="1">
      <c r="A55" s="9">
        <f>WBS!A55</f>
        <v/>
      </c>
      <c r="B55" s="21">
        <f>WBS!C55</f>
        <v/>
      </c>
      <c r="C55" s="9">
        <f>WBS!K55</f>
        <v/>
      </c>
      <c r="D55" s="9">
        <f>WBS!G55</f>
        <v/>
      </c>
      <c r="E55" s="9">
        <f>WBS!H55</f>
        <v/>
      </c>
      <c r="F55" s="9">
        <f>WBS!O55</f>
        <v/>
      </c>
      <c r="G55" s="14">
        <f>WBS!P55</f>
        <v/>
      </c>
      <c r="H55" s="9">
        <f>IF(AND(1&gt;=$D55,1&lt;=$E55),IF($F55="완료","●",IF($F55="진행중","▶",IF($F55="제외",".",IF($F55="보류","◇","■")))),"")</f>
        <v/>
      </c>
      <c r="I55" s="9">
        <f>IF(AND(2&gt;=$D55,2&lt;=$E55),IF($F55="완료","●",IF($F55="진행중","▶",IF($F55="제외",".",IF($F55="보류","◇","■")))),"")</f>
        <v/>
      </c>
      <c r="J55" s="9">
        <f>IF(AND(3&gt;=$D55,3&lt;=$E55),IF($F55="완료","●",IF($F55="진행중","▶",IF($F55="제외",".",IF($F55="보류","◇","■")))),"")</f>
        <v/>
      </c>
      <c r="K55" s="9">
        <f>IF(AND(4&gt;=$D55,4&lt;=$E55),IF($F55="완료","●",IF($F55="진행중","▶",IF($F55="제외",".",IF($F55="보류","◇","■")))),"")</f>
        <v/>
      </c>
      <c r="L55" s="9">
        <f>IF(AND(5&gt;=$D55,5&lt;=$E55),IF($F55="완료","●",IF($F55="진행중","▶",IF($F55="제외",".",IF($F55="보류","◇","■")))),"")</f>
        <v/>
      </c>
      <c r="M55" s="9">
        <f>IF(AND(6&gt;=$D55,6&lt;=$E55),IF($F55="완료","●",IF($F55="진행중","▶",IF($F55="제외",".",IF($F55="보류","◇","■")))),"")</f>
        <v/>
      </c>
      <c r="N55" s="9">
        <f>IF(AND(7&gt;=$D55,7&lt;=$E55),IF($F55="완료","●",IF($F55="진행중","▶",IF($F55="제외",".",IF($F55="보류","◇","■")))),"")</f>
        <v/>
      </c>
      <c r="O55" s="9">
        <f>IF(AND(8&gt;=$D55,8&lt;=$E55),IF($F55="완료","●",IF($F55="진행중","▶",IF($F55="제외",".",IF($F55="보류","◇","■")))),"")</f>
        <v/>
      </c>
      <c r="P55" s="9">
        <f>IF(AND(9&gt;=$D55,9&lt;=$E55),IF($F55="완료","●",IF($F55="진행중","▶",IF($F55="제외",".",IF($F55="보류","◇","■")))),"")</f>
        <v/>
      </c>
      <c r="Q55" s="9">
        <f>IF(AND(10&gt;=$D55,10&lt;=$E55),IF($F55="완료","●",IF($F55="진행중","▶",IF($F55="제외",".",IF($F55="보류","◇","■")))),"")</f>
        <v/>
      </c>
      <c r="R55" s="9">
        <f>IF(AND(11&gt;=$D55,11&lt;=$E55),IF($F55="완료","●",IF($F55="진행중","▶",IF($F55="제외",".",IF($F55="보류","◇","■")))),"")</f>
        <v/>
      </c>
      <c r="S55" s="9">
        <f>IF(AND(12&gt;=$D55,12&lt;=$E55),IF($F55="완료","●",IF($F55="진행중","▶",IF($F55="제외",".",IF($F55="보류","◇","■")))),"")</f>
        <v/>
      </c>
      <c r="T55" s="9">
        <f>IF(AND(13&gt;=$D55,13&lt;=$E55),IF($F55="완료","●",IF($F55="진행중","▶",IF($F55="제외",".",IF($F55="보류","◇","■")))),"")</f>
        <v/>
      </c>
      <c r="U55" s="9">
        <f>IF(AND(14&gt;=$D55,14&lt;=$E55),IF($F55="완료","●",IF($F55="진행중","▶",IF($F55="제외",".",IF($F55="보류","◇","■")))),"")</f>
        <v/>
      </c>
      <c r="V55" s="9">
        <f>IF(AND(15&gt;=$D55,15&lt;=$E55),IF($F55="완료","●",IF($F55="진행중","▶",IF($F55="제외",".",IF($F55="보류","◇","■")))),"")</f>
        <v/>
      </c>
    </row>
    <row r="56" outlineLevel="2" ht="18" customHeight="1">
      <c r="A56" s="9">
        <f>WBS!A56</f>
        <v/>
      </c>
      <c r="B56" s="21">
        <f>WBS!C56</f>
        <v/>
      </c>
      <c r="C56" s="9">
        <f>WBS!K56</f>
        <v/>
      </c>
      <c r="D56" s="9">
        <f>WBS!G56</f>
        <v/>
      </c>
      <c r="E56" s="9">
        <f>WBS!H56</f>
        <v/>
      </c>
      <c r="F56" s="9">
        <f>WBS!O56</f>
        <v/>
      </c>
      <c r="G56" s="14">
        <f>WBS!P56</f>
        <v/>
      </c>
      <c r="H56" s="9">
        <f>IF(AND(1&gt;=$D56,1&lt;=$E56),IF($F56="완료","●",IF($F56="진행중","▶",IF($F56="제외",".",IF($F56="보류","◇","■")))),"")</f>
        <v/>
      </c>
      <c r="I56" s="9">
        <f>IF(AND(2&gt;=$D56,2&lt;=$E56),IF($F56="완료","●",IF($F56="진행중","▶",IF($F56="제외",".",IF($F56="보류","◇","■")))),"")</f>
        <v/>
      </c>
      <c r="J56" s="9">
        <f>IF(AND(3&gt;=$D56,3&lt;=$E56),IF($F56="완료","●",IF($F56="진행중","▶",IF($F56="제외",".",IF($F56="보류","◇","■")))),"")</f>
        <v/>
      </c>
      <c r="K56" s="9">
        <f>IF(AND(4&gt;=$D56,4&lt;=$E56),IF($F56="완료","●",IF($F56="진행중","▶",IF($F56="제외",".",IF($F56="보류","◇","■")))),"")</f>
        <v/>
      </c>
      <c r="L56" s="9">
        <f>IF(AND(5&gt;=$D56,5&lt;=$E56),IF($F56="완료","●",IF($F56="진행중","▶",IF($F56="제외",".",IF($F56="보류","◇","■")))),"")</f>
        <v/>
      </c>
      <c r="M56" s="9">
        <f>IF(AND(6&gt;=$D56,6&lt;=$E56),IF($F56="완료","●",IF($F56="진행중","▶",IF($F56="제외",".",IF($F56="보류","◇","■")))),"")</f>
        <v/>
      </c>
      <c r="N56" s="9">
        <f>IF(AND(7&gt;=$D56,7&lt;=$E56),IF($F56="완료","●",IF($F56="진행중","▶",IF($F56="제외",".",IF($F56="보류","◇","■")))),"")</f>
        <v/>
      </c>
      <c r="O56" s="9">
        <f>IF(AND(8&gt;=$D56,8&lt;=$E56),IF($F56="완료","●",IF($F56="진행중","▶",IF($F56="제외",".",IF($F56="보류","◇","■")))),"")</f>
        <v/>
      </c>
      <c r="P56" s="9">
        <f>IF(AND(9&gt;=$D56,9&lt;=$E56),IF($F56="완료","●",IF($F56="진행중","▶",IF($F56="제외",".",IF($F56="보류","◇","■")))),"")</f>
        <v/>
      </c>
      <c r="Q56" s="9">
        <f>IF(AND(10&gt;=$D56,10&lt;=$E56),IF($F56="완료","●",IF($F56="진행중","▶",IF($F56="제외",".",IF($F56="보류","◇","■")))),"")</f>
        <v/>
      </c>
      <c r="R56" s="9">
        <f>IF(AND(11&gt;=$D56,11&lt;=$E56),IF($F56="완료","●",IF($F56="진행중","▶",IF($F56="제외",".",IF($F56="보류","◇","■")))),"")</f>
        <v/>
      </c>
      <c r="S56" s="9">
        <f>IF(AND(12&gt;=$D56,12&lt;=$E56),IF($F56="완료","●",IF($F56="진행중","▶",IF($F56="제외",".",IF($F56="보류","◇","■")))),"")</f>
        <v/>
      </c>
      <c r="T56" s="9">
        <f>IF(AND(13&gt;=$D56,13&lt;=$E56),IF($F56="완료","●",IF($F56="진행중","▶",IF($F56="제외",".",IF($F56="보류","◇","■")))),"")</f>
        <v/>
      </c>
      <c r="U56" s="9">
        <f>IF(AND(14&gt;=$D56,14&lt;=$E56),IF($F56="완료","●",IF($F56="진행중","▶",IF($F56="제외",".",IF($F56="보류","◇","■")))),"")</f>
        <v/>
      </c>
      <c r="V56" s="9">
        <f>IF(AND(15&gt;=$D56,15&lt;=$E56),IF($F56="완료","●",IF($F56="진행중","▶",IF($F56="제외",".",IF($F56="보류","◇","■")))),"")</f>
        <v/>
      </c>
    </row>
    <row r="57" outlineLevel="2" ht="18" customHeight="1">
      <c r="A57" s="9">
        <f>WBS!A57</f>
        <v/>
      </c>
      <c r="B57" s="21">
        <f>WBS!C57</f>
        <v/>
      </c>
      <c r="C57" s="9">
        <f>WBS!K57</f>
        <v/>
      </c>
      <c r="D57" s="9">
        <f>WBS!G57</f>
        <v/>
      </c>
      <c r="E57" s="9">
        <f>WBS!H57</f>
        <v/>
      </c>
      <c r="F57" s="9">
        <f>WBS!O57</f>
        <v/>
      </c>
      <c r="G57" s="14">
        <f>WBS!P57</f>
        <v/>
      </c>
      <c r="H57" s="9">
        <f>IF(AND(1&gt;=$D57,1&lt;=$E57),IF($F57="완료","●",IF($F57="진행중","▶",IF($F57="제외",".",IF($F57="보류","◇","■")))),"")</f>
        <v/>
      </c>
      <c r="I57" s="9">
        <f>IF(AND(2&gt;=$D57,2&lt;=$E57),IF($F57="완료","●",IF($F57="진행중","▶",IF($F57="제외",".",IF($F57="보류","◇","■")))),"")</f>
        <v/>
      </c>
      <c r="J57" s="9">
        <f>IF(AND(3&gt;=$D57,3&lt;=$E57),IF($F57="완료","●",IF($F57="진행중","▶",IF($F57="제외",".",IF($F57="보류","◇","■")))),"")</f>
        <v/>
      </c>
      <c r="K57" s="9">
        <f>IF(AND(4&gt;=$D57,4&lt;=$E57),IF($F57="완료","●",IF($F57="진행중","▶",IF($F57="제외",".",IF($F57="보류","◇","■")))),"")</f>
        <v/>
      </c>
      <c r="L57" s="9">
        <f>IF(AND(5&gt;=$D57,5&lt;=$E57),IF($F57="완료","●",IF($F57="진행중","▶",IF($F57="제외",".",IF($F57="보류","◇","■")))),"")</f>
        <v/>
      </c>
      <c r="M57" s="9">
        <f>IF(AND(6&gt;=$D57,6&lt;=$E57),IF($F57="완료","●",IF($F57="진행중","▶",IF($F57="제외",".",IF($F57="보류","◇","■")))),"")</f>
        <v/>
      </c>
      <c r="N57" s="9">
        <f>IF(AND(7&gt;=$D57,7&lt;=$E57),IF($F57="완료","●",IF($F57="진행중","▶",IF($F57="제외",".",IF($F57="보류","◇","■")))),"")</f>
        <v/>
      </c>
      <c r="O57" s="9">
        <f>IF(AND(8&gt;=$D57,8&lt;=$E57),IF($F57="완료","●",IF($F57="진행중","▶",IF($F57="제외",".",IF($F57="보류","◇","■")))),"")</f>
        <v/>
      </c>
      <c r="P57" s="9">
        <f>IF(AND(9&gt;=$D57,9&lt;=$E57),IF($F57="완료","●",IF($F57="진행중","▶",IF($F57="제외",".",IF($F57="보류","◇","■")))),"")</f>
        <v/>
      </c>
      <c r="Q57" s="9">
        <f>IF(AND(10&gt;=$D57,10&lt;=$E57),IF($F57="완료","●",IF($F57="진행중","▶",IF($F57="제외",".",IF($F57="보류","◇","■")))),"")</f>
        <v/>
      </c>
      <c r="R57" s="9">
        <f>IF(AND(11&gt;=$D57,11&lt;=$E57),IF($F57="완료","●",IF($F57="진행중","▶",IF($F57="제외",".",IF($F57="보류","◇","■")))),"")</f>
        <v/>
      </c>
      <c r="S57" s="9">
        <f>IF(AND(12&gt;=$D57,12&lt;=$E57),IF($F57="완료","●",IF($F57="진행중","▶",IF($F57="제외",".",IF($F57="보류","◇","■")))),"")</f>
        <v/>
      </c>
      <c r="T57" s="9">
        <f>IF(AND(13&gt;=$D57,13&lt;=$E57),IF($F57="완료","●",IF($F57="진행중","▶",IF($F57="제외",".",IF($F57="보류","◇","■")))),"")</f>
        <v/>
      </c>
      <c r="U57" s="9">
        <f>IF(AND(14&gt;=$D57,14&lt;=$E57),IF($F57="완료","●",IF($F57="진행중","▶",IF($F57="제외",".",IF($F57="보류","◇","■")))),"")</f>
        <v/>
      </c>
      <c r="V57" s="9">
        <f>IF(AND(15&gt;=$D57,15&lt;=$E57),IF($F57="완료","●",IF($F57="진행중","▶",IF($F57="제외",".",IF($F57="보류","◇","■")))),"")</f>
        <v/>
      </c>
    </row>
    <row r="58" outlineLevel="2" ht="18" customHeight="1">
      <c r="A58" s="9">
        <f>WBS!A58</f>
        <v/>
      </c>
      <c r="B58" s="21">
        <f>WBS!C58</f>
        <v/>
      </c>
      <c r="C58" s="9">
        <f>WBS!K58</f>
        <v/>
      </c>
      <c r="D58" s="9">
        <f>WBS!G58</f>
        <v/>
      </c>
      <c r="E58" s="9">
        <f>WBS!H58</f>
        <v/>
      </c>
      <c r="F58" s="9">
        <f>WBS!O58</f>
        <v/>
      </c>
      <c r="G58" s="14">
        <f>WBS!P58</f>
        <v/>
      </c>
      <c r="H58" s="9">
        <f>IF(AND(1&gt;=$D58,1&lt;=$E58),IF($F58="완료","●",IF($F58="진행중","▶",IF($F58="제외",".",IF($F58="보류","◇","■")))),"")</f>
        <v/>
      </c>
      <c r="I58" s="9">
        <f>IF(AND(2&gt;=$D58,2&lt;=$E58),IF($F58="완료","●",IF($F58="진행중","▶",IF($F58="제외",".",IF($F58="보류","◇","■")))),"")</f>
        <v/>
      </c>
      <c r="J58" s="9">
        <f>IF(AND(3&gt;=$D58,3&lt;=$E58),IF($F58="완료","●",IF($F58="진행중","▶",IF($F58="제외",".",IF($F58="보류","◇","■")))),"")</f>
        <v/>
      </c>
      <c r="K58" s="9">
        <f>IF(AND(4&gt;=$D58,4&lt;=$E58),IF($F58="완료","●",IF($F58="진행중","▶",IF($F58="제외",".",IF($F58="보류","◇","■")))),"")</f>
        <v/>
      </c>
      <c r="L58" s="9">
        <f>IF(AND(5&gt;=$D58,5&lt;=$E58),IF($F58="완료","●",IF($F58="진행중","▶",IF($F58="제외",".",IF($F58="보류","◇","■")))),"")</f>
        <v/>
      </c>
      <c r="M58" s="9">
        <f>IF(AND(6&gt;=$D58,6&lt;=$E58),IF($F58="완료","●",IF($F58="진행중","▶",IF($F58="제외",".",IF($F58="보류","◇","■")))),"")</f>
        <v/>
      </c>
      <c r="N58" s="9">
        <f>IF(AND(7&gt;=$D58,7&lt;=$E58),IF($F58="완료","●",IF($F58="진행중","▶",IF($F58="제외",".",IF($F58="보류","◇","■")))),"")</f>
        <v/>
      </c>
      <c r="O58" s="9">
        <f>IF(AND(8&gt;=$D58,8&lt;=$E58),IF($F58="완료","●",IF($F58="진행중","▶",IF($F58="제외",".",IF($F58="보류","◇","■")))),"")</f>
        <v/>
      </c>
      <c r="P58" s="9">
        <f>IF(AND(9&gt;=$D58,9&lt;=$E58),IF($F58="완료","●",IF($F58="진행중","▶",IF($F58="제외",".",IF($F58="보류","◇","■")))),"")</f>
        <v/>
      </c>
      <c r="Q58" s="9">
        <f>IF(AND(10&gt;=$D58,10&lt;=$E58),IF($F58="완료","●",IF($F58="진행중","▶",IF($F58="제외",".",IF($F58="보류","◇","■")))),"")</f>
        <v/>
      </c>
      <c r="R58" s="9">
        <f>IF(AND(11&gt;=$D58,11&lt;=$E58),IF($F58="완료","●",IF($F58="진행중","▶",IF($F58="제외",".",IF($F58="보류","◇","■")))),"")</f>
        <v/>
      </c>
      <c r="S58" s="9">
        <f>IF(AND(12&gt;=$D58,12&lt;=$E58),IF($F58="완료","●",IF($F58="진행중","▶",IF($F58="제외",".",IF($F58="보류","◇","■")))),"")</f>
        <v/>
      </c>
      <c r="T58" s="9">
        <f>IF(AND(13&gt;=$D58,13&lt;=$E58),IF($F58="완료","●",IF($F58="진행중","▶",IF($F58="제외",".",IF($F58="보류","◇","■")))),"")</f>
        <v/>
      </c>
      <c r="U58" s="9">
        <f>IF(AND(14&gt;=$D58,14&lt;=$E58),IF($F58="완료","●",IF($F58="진행중","▶",IF($F58="제외",".",IF($F58="보류","◇","■")))),"")</f>
        <v/>
      </c>
      <c r="V58" s="9">
        <f>IF(AND(15&gt;=$D58,15&lt;=$E58),IF($F58="완료","●",IF($F58="진행중","▶",IF($F58="제외",".",IF($F58="보류","◇","■")))),"")</f>
        <v/>
      </c>
    </row>
    <row r="59" outlineLevel="2" ht="18" customHeight="1">
      <c r="A59" s="9">
        <f>WBS!A59</f>
        <v/>
      </c>
      <c r="B59" s="21">
        <f>WBS!C59</f>
        <v/>
      </c>
      <c r="C59" s="9">
        <f>WBS!K59</f>
        <v/>
      </c>
      <c r="D59" s="9">
        <f>WBS!G59</f>
        <v/>
      </c>
      <c r="E59" s="9">
        <f>WBS!H59</f>
        <v/>
      </c>
      <c r="F59" s="9">
        <f>WBS!O59</f>
        <v/>
      </c>
      <c r="G59" s="14">
        <f>WBS!P59</f>
        <v/>
      </c>
      <c r="H59" s="9">
        <f>IF(AND(1&gt;=$D59,1&lt;=$E59),IF($F59="완료","●",IF($F59="진행중","▶",IF($F59="제외",".",IF($F59="보류","◇","■")))),"")</f>
        <v/>
      </c>
      <c r="I59" s="9">
        <f>IF(AND(2&gt;=$D59,2&lt;=$E59),IF($F59="완료","●",IF($F59="진행중","▶",IF($F59="제외",".",IF($F59="보류","◇","■")))),"")</f>
        <v/>
      </c>
      <c r="J59" s="9">
        <f>IF(AND(3&gt;=$D59,3&lt;=$E59),IF($F59="완료","●",IF($F59="진행중","▶",IF($F59="제외",".",IF($F59="보류","◇","■")))),"")</f>
        <v/>
      </c>
      <c r="K59" s="9">
        <f>IF(AND(4&gt;=$D59,4&lt;=$E59),IF($F59="완료","●",IF($F59="진행중","▶",IF($F59="제외",".",IF($F59="보류","◇","■")))),"")</f>
        <v/>
      </c>
      <c r="L59" s="9">
        <f>IF(AND(5&gt;=$D59,5&lt;=$E59),IF($F59="완료","●",IF($F59="진행중","▶",IF($F59="제외",".",IF($F59="보류","◇","■")))),"")</f>
        <v/>
      </c>
      <c r="M59" s="9">
        <f>IF(AND(6&gt;=$D59,6&lt;=$E59),IF($F59="완료","●",IF($F59="진행중","▶",IF($F59="제외",".",IF($F59="보류","◇","■")))),"")</f>
        <v/>
      </c>
      <c r="N59" s="9">
        <f>IF(AND(7&gt;=$D59,7&lt;=$E59),IF($F59="완료","●",IF($F59="진행중","▶",IF($F59="제외",".",IF($F59="보류","◇","■")))),"")</f>
        <v/>
      </c>
      <c r="O59" s="9">
        <f>IF(AND(8&gt;=$D59,8&lt;=$E59),IF($F59="완료","●",IF($F59="진행중","▶",IF($F59="제외",".",IF($F59="보류","◇","■")))),"")</f>
        <v/>
      </c>
      <c r="P59" s="9">
        <f>IF(AND(9&gt;=$D59,9&lt;=$E59),IF($F59="완료","●",IF($F59="진행중","▶",IF($F59="제외",".",IF($F59="보류","◇","■")))),"")</f>
        <v/>
      </c>
      <c r="Q59" s="9">
        <f>IF(AND(10&gt;=$D59,10&lt;=$E59),IF($F59="완료","●",IF($F59="진행중","▶",IF($F59="제외",".",IF($F59="보류","◇","■")))),"")</f>
        <v/>
      </c>
      <c r="R59" s="9">
        <f>IF(AND(11&gt;=$D59,11&lt;=$E59),IF($F59="완료","●",IF($F59="진행중","▶",IF($F59="제외",".",IF($F59="보류","◇","■")))),"")</f>
        <v/>
      </c>
      <c r="S59" s="9">
        <f>IF(AND(12&gt;=$D59,12&lt;=$E59),IF($F59="완료","●",IF($F59="진행중","▶",IF($F59="제외",".",IF($F59="보류","◇","■")))),"")</f>
        <v/>
      </c>
      <c r="T59" s="9">
        <f>IF(AND(13&gt;=$D59,13&lt;=$E59),IF($F59="완료","●",IF($F59="진행중","▶",IF($F59="제외",".",IF($F59="보류","◇","■")))),"")</f>
        <v/>
      </c>
      <c r="U59" s="9">
        <f>IF(AND(14&gt;=$D59,14&lt;=$E59),IF($F59="완료","●",IF($F59="진행중","▶",IF($F59="제외",".",IF($F59="보류","◇","■")))),"")</f>
        <v/>
      </c>
      <c r="V59" s="9">
        <f>IF(AND(15&gt;=$D59,15&lt;=$E59),IF($F59="완료","●",IF($F59="진행중","▶",IF($F59="제외",".",IF($F59="보류","◇","■")))),"")</f>
        <v/>
      </c>
    </row>
    <row r="60" outlineLevel="2" ht="18" customHeight="1">
      <c r="A60" s="9">
        <f>WBS!A60</f>
        <v/>
      </c>
      <c r="B60" s="21">
        <f>WBS!C60</f>
        <v/>
      </c>
      <c r="C60" s="9">
        <f>WBS!K60</f>
        <v/>
      </c>
      <c r="D60" s="9">
        <f>WBS!G60</f>
        <v/>
      </c>
      <c r="E60" s="9">
        <f>WBS!H60</f>
        <v/>
      </c>
      <c r="F60" s="9">
        <f>WBS!O60</f>
        <v/>
      </c>
      <c r="G60" s="14">
        <f>WBS!P60</f>
        <v/>
      </c>
      <c r="H60" s="9">
        <f>IF(AND(1&gt;=$D60,1&lt;=$E60),IF($F60="완료","●",IF($F60="진행중","▶",IF($F60="제외",".",IF($F60="보류","◇","■")))),"")</f>
        <v/>
      </c>
      <c r="I60" s="9">
        <f>IF(AND(2&gt;=$D60,2&lt;=$E60),IF($F60="완료","●",IF($F60="진행중","▶",IF($F60="제외",".",IF($F60="보류","◇","■")))),"")</f>
        <v/>
      </c>
      <c r="J60" s="9">
        <f>IF(AND(3&gt;=$D60,3&lt;=$E60),IF($F60="완료","●",IF($F60="진행중","▶",IF($F60="제외",".",IF($F60="보류","◇","■")))),"")</f>
        <v/>
      </c>
      <c r="K60" s="9">
        <f>IF(AND(4&gt;=$D60,4&lt;=$E60),IF($F60="완료","●",IF($F60="진행중","▶",IF($F60="제외",".",IF($F60="보류","◇","■")))),"")</f>
        <v/>
      </c>
      <c r="L60" s="9">
        <f>IF(AND(5&gt;=$D60,5&lt;=$E60),IF($F60="완료","●",IF($F60="진행중","▶",IF($F60="제외",".",IF($F60="보류","◇","■")))),"")</f>
        <v/>
      </c>
      <c r="M60" s="9">
        <f>IF(AND(6&gt;=$D60,6&lt;=$E60),IF($F60="완료","●",IF($F60="진행중","▶",IF($F60="제외",".",IF($F60="보류","◇","■")))),"")</f>
        <v/>
      </c>
      <c r="N60" s="9">
        <f>IF(AND(7&gt;=$D60,7&lt;=$E60),IF($F60="완료","●",IF($F60="진행중","▶",IF($F60="제외",".",IF($F60="보류","◇","■")))),"")</f>
        <v/>
      </c>
      <c r="O60" s="9">
        <f>IF(AND(8&gt;=$D60,8&lt;=$E60),IF($F60="완료","●",IF($F60="진행중","▶",IF($F60="제외",".",IF($F60="보류","◇","■")))),"")</f>
        <v/>
      </c>
      <c r="P60" s="9">
        <f>IF(AND(9&gt;=$D60,9&lt;=$E60),IF($F60="완료","●",IF($F60="진행중","▶",IF($F60="제외",".",IF($F60="보류","◇","■")))),"")</f>
        <v/>
      </c>
      <c r="Q60" s="9">
        <f>IF(AND(10&gt;=$D60,10&lt;=$E60),IF($F60="완료","●",IF($F60="진행중","▶",IF($F60="제외",".",IF($F60="보류","◇","■")))),"")</f>
        <v/>
      </c>
      <c r="R60" s="9">
        <f>IF(AND(11&gt;=$D60,11&lt;=$E60),IF($F60="완료","●",IF($F60="진행중","▶",IF($F60="제외",".",IF($F60="보류","◇","■")))),"")</f>
        <v/>
      </c>
      <c r="S60" s="9">
        <f>IF(AND(12&gt;=$D60,12&lt;=$E60),IF($F60="완료","●",IF($F60="진행중","▶",IF($F60="제외",".",IF($F60="보류","◇","■")))),"")</f>
        <v/>
      </c>
      <c r="T60" s="9">
        <f>IF(AND(13&gt;=$D60,13&lt;=$E60),IF($F60="완료","●",IF($F60="진행중","▶",IF($F60="제외",".",IF($F60="보류","◇","■")))),"")</f>
        <v/>
      </c>
      <c r="U60" s="9">
        <f>IF(AND(14&gt;=$D60,14&lt;=$E60),IF($F60="완료","●",IF($F60="진행중","▶",IF($F60="제외",".",IF($F60="보류","◇","■")))),"")</f>
        <v/>
      </c>
      <c r="V60" s="9">
        <f>IF(AND(15&gt;=$D60,15&lt;=$E60),IF($F60="완료","●",IF($F60="진행중","▶",IF($F60="제외",".",IF($F60="보류","◇","■")))),"")</f>
        <v/>
      </c>
    </row>
    <row r="61" outlineLevel="1" ht="18" customHeight="1">
      <c r="A61" s="35">
        <f>WBS!A61</f>
        <v/>
      </c>
      <c r="B61" s="36">
        <f>WBS!C61</f>
        <v/>
      </c>
      <c r="C61" s="35">
        <f>WBS!K61</f>
        <v/>
      </c>
      <c r="D61" s="35">
        <f>WBS!G61</f>
        <v/>
      </c>
      <c r="E61" s="35">
        <f>WBS!H61</f>
        <v/>
      </c>
      <c r="F61" s="35">
        <f>WBS!O61</f>
        <v/>
      </c>
      <c r="G61" s="37">
        <f>WBS!P61</f>
        <v/>
      </c>
      <c r="H61" s="9">
        <f>IF(AND(1&gt;=$D61,1&lt;=$E61),IF($F61="완료","●",IF($F61="진행중","▶",IF($F61="제외",".",IF($F61="보류","◇","■")))),"")</f>
        <v/>
      </c>
      <c r="I61" s="9">
        <f>IF(AND(2&gt;=$D61,2&lt;=$E61),IF($F61="완료","●",IF($F61="진행중","▶",IF($F61="제외",".",IF($F61="보류","◇","■")))),"")</f>
        <v/>
      </c>
      <c r="J61" s="9">
        <f>IF(AND(3&gt;=$D61,3&lt;=$E61),IF($F61="완료","●",IF($F61="진행중","▶",IF($F61="제외",".",IF($F61="보류","◇","■")))),"")</f>
        <v/>
      </c>
      <c r="K61" s="9">
        <f>IF(AND(4&gt;=$D61,4&lt;=$E61),IF($F61="완료","●",IF($F61="진행중","▶",IF($F61="제외",".",IF($F61="보류","◇","■")))),"")</f>
        <v/>
      </c>
      <c r="L61" s="9">
        <f>IF(AND(5&gt;=$D61,5&lt;=$E61),IF($F61="완료","●",IF($F61="진행중","▶",IF($F61="제외",".",IF($F61="보류","◇","■")))),"")</f>
        <v/>
      </c>
      <c r="M61" s="9">
        <f>IF(AND(6&gt;=$D61,6&lt;=$E61),IF($F61="완료","●",IF($F61="진행중","▶",IF($F61="제외",".",IF($F61="보류","◇","■")))),"")</f>
        <v/>
      </c>
      <c r="N61" s="9">
        <f>IF(AND(7&gt;=$D61,7&lt;=$E61),IF($F61="완료","●",IF($F61="진행중","▶",IF($F61="제외",".",IF($F61="보류","◇","■")))),"")</f>
        <v/>
      </c>
      <c r="O61" s="9">
        <f>IF(AND(8&gt;=$D61,8&lt;=$E61),IF($F61="완료","●",IF($F61="진행중","▶",IF($F61="제외",".",IF($F61="보류","◇","■")))),"")</f>
        <v/>
      </c>
      <c r="P61" s="9">
        <f>IF(AND(9&gt;=$D61,9&lt;=$E61),IF($F61="완료","●",IF($F61="진행중","▶",IF($F61="제외",".",IF($F61="보류","◇","■")))),"")</f>
        <v/>
      </c>
      <c r="Q61" s="9">
        <f>IF(AND(10&gt;=$D61,10&lt;=$E61),IF($F61="완료","●",IF($F61="진행중","▶",IF($F61="제외",".",IF($F61="보류","◇","■")))),"")</f>
        <v/>
      </c>
      <c r="R61" s="9">
        <f>IF(AND(11&gt;=$D61,11&lt;=$E61),IF($F61="완료","●",IF($F61="진행중","▶",IF($F61="제외",".",IF($F61="보류","◇","■")))),"")</f>
        <v/>
      </c>
      <c r="S61" s="9">
        <f>IF(AND(12&gt;=$D61,12&lt;=$E61),IF($F61="완료","●",IF($F61="진행중","▶",IF($F61="제외",".",IF($F61="보류","◇","■")))),"")</f>
        <v/>
      </c>
      <c r="T61" s="9">
        <f>IF(AND(13&gt;=$D61,13&lt;=$E61),IF($F61="완료","●",IF($F61="진행중","▶",IF($F61="제외",".",IF($F61="보류","◇","■")))),"")</f>
        <v/>
      </c>
      <c r="U61" s="9">
        <f>IF(AND(14&gt;=$D61,14&lt;=$E61),IF($F61="완료","●",IF($F61="진행중","▶",IF($F61="제외",".",IF($F61="보류","◇","■")))),"")</f>
        <v/>
      </c>
      <c r="V61" s="9">
        <f>IF(AND(15&gt;=$D61,15&lt;=$E61),IF($F61="완료","●",IF($F61="진행중","▶",IF($F61="제외",".",IF($F61="보류","◇","■")))),"")</f>
        <v/>
      </c>
    </row>
    <row r="62" outlineLevel="2" ht="18" customHeight="1">
      <c r="A62" s="9">
        <f>WBS!A62</f>
        <v/>
      </c>
      <c r="B62" s="21">
        <f>WBS!C62</f>
        <v/>
      </c>
      <c r="C62" s="9">
        <f>WBS!K62</f>
        <v/>
      </c>
      <c r="D62" s="9">
        <f>WBS!G62</f>
        <v/>
      </c>
      <c r="E62" s="9">
        <f>WBS!H62</f>
        <v/>
      </c>
      <c r="F62" s="9">
        <f>WBS!O62</f>
        <v/>
      </c>
      <c r="G62" s="14">
        <f>WBS!P62</f>
        <v/>
      </c>
      <c r="H62" s="9">
        <f>IF(AND(1&gt;=$D62,1&lt;=$E62),IF($F62="완료","●",IF($F62="진행중","▶",IF($F62="제외",".",IF($F62="보류","◇","■")))),"")</f>
        <v/>
      </c>
      <c r="I62" s="9">
        <f>IF(AND(2&gt;=$D62,2&lt;=$E62),IF($F62="완료","●",IF($F62="진행중","▶",IF($F62="제외",".",IF($F62="보류","◇","■")))),"")</f>
        <v/>
      </c>
      <c r="J62" s="9">
        <f>IF(AND(3&gt;=$D62,3&lt;=$E62),IF($F62="완료","●",IF($F62="진행중","▶",IF($F62="제외",".",IF($F62="보류","◇","■")))),"")</f>
        <v/>
      </c>
      <c r="K62" s="9">
        <f>IF(AND(4&gt;=$D62,4&lt;=$E62),IF($F62="완료","●",IF($F62="진행중","▶",IF($F62="제외",".",IF($F62="보류","◇","■")))),"")</f>
        <v/>
      </c>
      <c r="L62" s="9">
        <f>IF(AND(5&gt;=$D62,5&lt;=$E62),IF($F62="완료","●",IF($F62="진행중","▶",IF($F62="제외",".",IF($F62="보류","◇","■")))),"")</f>
        <v/>
      </c>
      <c r="M62" s="9">
        <f>IF(AND(6&gt;=$D62,6&lt;=$E62),IF($F62="완료","●",IF($F62="진행중","▶",IF($F62="제외",".",IF($F62="보류","◇","■")))),"")</f>
        <v/>
      </c>
      <c r="N62" s="9">
        <f>IF(AND(7&gt;=$D62,7&lt;=$E62),IF($F62="완료","●",IF($F62="진행중","▶",IF($F62="제외",".",IF($F62="보류","◇","■")))),"")</f>
        <v/>
      </c>
      <c r="O62" s="9">
        <f>IF(AND(8&gt;=$D62,8&lt;=$E62),IF($F62="완료","●",IF($F62="진행중","▶",IF($F62="제외",".",IF($F62="보류","◇","■")))),"")</f>
        <v/>
      </c>
      <c r="P62" s="9">
        <f>IF(AND(9&gt;=$D62,9&lt;=$E62),IF($F62="완료","●",IF($F62="진행중","▶",IF($F62="제외",".",IF($F62="보류","◇","■")))),"")</f>
        <v/>
      </c>
      <c r="Q62" s="9">
        <f>IF(AND(10&gt;=$D62,10&lt;=$E62),IF($F62="완료","●",IF($F62="진행중","▶",IF($F62="제외",".",IF($F62="보류","◇","■")))),"")</f>
        <v/>
      </c>
      <c r="R62" s="9">
        <f>IF(AND(11&gt;=$D62,11&lt;=$E62),IF($F62="완료","●",IF($F62="진행중","▶",IF($F62="제외",".",IF($F62="보류","◇","■")))),"")</f>
        <v/>
      </c>
      <c r="S62" s="9">
        <f>IF(AND(12&gt;=$D62,12&lt;=$E62),IF($F62="완료","●",IF($F62="진행중","▶",IF($F62="제외",".",IF($F62="보류","◇","■")))),"")</f>
        <v/>
      </c>
      <c r="T62" s="9">
        <f>IF(AND(13&gt;=$D62,13&lt;=$E62),IF($F62="완료","●",IF($F62="진행중","▶",IF($F62="제외",".",IF($F62="보류","◇","■")))),"")</f>
        <v/>
      </c>
      <c r="U62" s="9">
        <f>IF(AND(14&gt;=$D62,14&lt;=$E62),IF($F62="완료","●",IF($F62="진행중","▶",IF($F62="제외",".",IF($F62="보류","◇","■")))),"")</f>
        <v/>
      </c>
      <c r="V62" s="9">
        <f>IF(AND(15&gt;=$D62,15&lt;=$E62),IF($F62="완료","●",IF($F62="진행중","▶",IF($F62="제외",".",IF($F62="보류","◇","■")))),"")</f>
        <v/>
      </c>
    </row>
    <row r="63" outlineLevel="2" ht="18" customHeight="1">
      <c r="A63" s="9">
        <f>WBS!A63</f>
        <v/>
      </c>
      <c r="B63" s="21">
        <f>WBS!C63</f>
        <v/>
      </c>
      <c r="C63" s="9">
        <f>WBS!K63</f>
        <v/>
      </c>
      <c r="D63" s="9">
        <f>WBS!G63</f>
        <v/>
      </c>
      <c r="E63" s="9">
        <f>WBS!H63</f>
        <v/>
      </c>
      <c r="F63" s="9">
        <f>WBS!O63</f>
        <v/>
      </c>
      <c r="G63" s="14">
        <f>WBS!P63</f>
        <v/>
      </c>
      <c r="H63" s="9">
        <f>IF(AND(1&gt;=$D63,1&lt;=$E63),IF($F63="완료","●",IF($F63="진행중","▶",IF($F63="제외",".",IF($F63="보류","◇","■")))),"")</f>
        <v/>
      </c>
      <c r="I63" s="9">
        <f>IF(AND(2&gt;=$D63,2&lt;=$E63),IF($F63="완료","●",IF($F63="진행중","▶",IF($F63="제외",".",IF($F63="보류","◇","■")))),"")</f>
        <v/>
      </c>
      <c r="J63" s="9">
        <f>IF(AND(3&gt;=$D63,3&lt;=$E63),IF($F63="완료","●",IF($F63="진행중","▶",IF($F63="제외",".",IF($F63="보류","◇","■")))),"")</f>
        <v/>
      </c>
      <c r="K63" s="9">
        <f>IF(AND(4&gt;=$D63,4&lt;=$E63),IF($F63="완료","●",IF($F63="진행중","▶",IF($F63="제외",".",IF($F63="보류","◇","■")))),"")</f>
        <v/>
      </c>
      <c r="L63" s="9">
        <f>IF(AND(5&gt;=$D63,5&lt;=$E63),IF($F63="완료","●",IF($F63="진행중","▶",IF($F63="제외",".",IF($F63="보류","◇","■")))),"")</f>
        <v/>
      </c>
      <c r="M63" s="9">
        <f>IF(AND(6&gt;=$D63,6&lt;=$E63),IF($F63="완료","●",IF($F63="진행중","▶",IF($F63="제외",".",IF($F63="보류","◇","■")))),"")</f>
        <v/>
      </c>
      <c r="N63" s="9">
        <f>IF(AND(7&gt;=$D63,7&lt;=$E63),IF($F63="완료","●",IF($F63="진행중","▶",IF($F63="제외",".",IF($F63="보류","◇","■")))),"")</f>
        <v/>
      </c>
      <c r="O63" s="9">
        <f>IF(AND(8&gt;=$D63,8&lt;=$E63),IF($F63="완료","●",IF($F63="진행중","▶",IF($F63="제외",".",IF($F63="보류","◇","■")))),"")</f>
        <v/>
      </c>
      <c r="P63" s="9">
        <f>IF(AND(9&gt;=$D63,9&lt;=$E63),IF($F63="완료","●",IF($F63="진행중","▶",IF($F63="제외",".",IF($F63="보류","◇","■")))),"")</f>
        <v/>
      </c>
      <c r="Q63" s="9">
        <f>IF(AND(10&gt;=$D63,10&lt;=$E63),IF($F63="완료","●",IF($F63="진행중","▶",IF($F63="제외",".",IF($F63="보류","◇","■")))),"")</f>
        <v/>
      </c>
      <c r="R63" s="9">
        <f>IF(AND(11&gt;=$D63,11&lt;=$E63),IF($F63="완료","●",IF($F63="진행중","▶",IF($F63="제외",".",IF($F63="보류","◇","■")))),"")</f>
        <v/>
      </c>
      <c r="S63" s="9">
        <f>IF(AND(12&gt;=$D63,12&lt;=$E63),IF($F63="완료","●",IF($F63="진행중","▶",IF($F63="제외",".",IF($F63="보류","◇","■")))),"")</f>
        <v/>
      </c>
      <c r="T63" s="9">
        <f>IF(AND(13&gt;=$D63,13&lt;=$E63),IF($F63="완료","●",IF($F63="진행중","▶",IF($F63="제외",".",IF($F63="보류","◇","■")))),"")</f>
        <v/>
      </c>
      <c r="U63" s="9">
        <f>IF(AND(14&gt;=$D63,14&lt;=$E63),IF($F63="완료","●",IF($F63="진행중","▶",IF($F63="제외",".",IF($F63="보류","◇","■")))),"")</f>
        <v/>
      </c>
      <c r="V63" s="9">
        <f>IF(AND(15&gt;=$D63,15&lt;=$E63),IF($F63="완료","●",IF($F63="진행중","▶",IF($F63="제외",".",IF($F63="보류","◇","■")))),"")</f>
        <v/>
      </c>
    </row>
    <row r="64" outlineLevel="2" ht="18" customHeight="1">
      <c r="A64" s="9">
        <f>WBS!A64</f>
        <v/>
      </c>
      <c r="B64" s="21">
        <f>WBS!C64</f>
        <v/>
      </c>
      <c r="C64" s="9">
        <f>WBS!K64</f>
        <v/>
      </c>
      <c r="D64" s="9">
        <f>WBS!G64</f>
        <v/>
      </c>
      <c r="E64" s="9">
        <f>WBS!H64</f>
        <v/>
      </c>
      <c r="F64" s="9">
        <f>WBS!O64</f>
        <v/>
      </c>
      <c r="G64" s="14">
        <f>WBS!P64</f>
        <v/>
      </c>
      <c r="H64" s="9">
        <f>IF(AND(1&gt;=$D64,1&lt;=$E64),IF($F64="완료","●",IF($F64="진행중","▶",IF($F64="제외",".",IF($F64="보류","◇","■")))),"")</f>
        <v/>
      </c>
      <c r="I64" s="9">
        <f>IF(AND(2&gt;=$D64,2&lt;=$E64),IF($F64="완료","●",IF($F64="진행중","▶",IF($F64="제외",".",IF($F64="보류","◇","■")))),"")</f>
        <v/>
      </c>
      <c r="J64" s="9">
        <f>IF(AND(3&gt;=$D64,3&lt;=$E64),IF($F64="완료","●",IF($F64="진행중","▶",IF($F64="제외",".",IF($F64="보류","◇","■")))),"")</f>
        <v/>
      </c>
      <c r="K64" s="9">
        <f>IF(AND(4&gt;=$D64,4&lt;=$E64),IF($F64="완료","●",IF($F64="진행중","▶",IF($F64="제외",".",IF($F64="보류","◇","■")))),"")</f>
        <v/>
      </c>
      <c r="L64" s="9">
        <f>IF(AND(5&gt;=$D64,5&lt;=$E64),IF($F64="완료","●",IF($F64="진행중","▶",IF($F64="제외",".",IF($F64="보류","◇","■")))),"")</f>
        <v/>
      </c>
      <c r="M64" s="9">
        <f>IF(AND(6&gt;=$D64,6&lt;=$E64),IF($F64="완료","●",IF($F64="진행중","▶",IF($F64="제외",".",IF($F64="보류","◇","■")))),"")</f>
        <v/>
      </c>
      <c r="N64" s="9">
        <f>IF(AND(7&gt;=$D64,7&lt;=$E64),IF($F64="완료","●",IF($F64="진행중","▶",IF($F64="제외",".",IF($F64="보류","◇","■")))),"")</f>
        <v/>
      </c>
      <c r="O64" s="9">
        <f>IF(AND(8&gt;=$D64,8&lt;=$E64),IF($F64="완료","●",IF($F64="진행중","▶",IF($F64="제외",".",IF($F64="보류","◇","■")))),"")</f>
        <v/>
      </c>
      <c r="P64" s="9">
        <f>IF(AND(9&gt;=$D64,9&lt;=$E64),IF($F64="완료","●",IF($F64="진행중","▶",IF($F64="제외",".",IF($F64="보류","◇","■")))),"")</f>
        <v/>
      </c>
      <c r="Q64" s="9">
        <f>IF(AND(10&gt;=$D64,10&lt;=$E64),IF($F64="완료","●",IF($F64="진행중","▶",IF($F64="제외",".",IF($F64="보류","◇","■")))),"")</f>
        <v/>
      </c>
      <c r="R64" s="9">
        <f>IF(AND(11&gt;=$D64,11&lt;=$E64),IF($F64="완료","●",IF($F64="진행중","▶",IF($F64="제외",".",IF($F64="보류","◇","■")))),"")</f>
        <v/>
      </c>
      <c r="S64" s="9">
        <f>IF(AND(12&gt;=$D64,12&lt;=$E64),IF($F64="완료","●",IF($F64="진행중","▶",IF($F64="제외",".",IF($F64="보류","◇","■")))),"")</f>
        <v/>
      </c>
      <c r="T64" s="9">
        <f>IF(AND(13&gt;=$D64,13&lt;=$E64),IF($F64="완료","●",IF($F64="진행중","▶",IF($F64="제외",".",IF($F64="보류","◇","■")))),"")</f>
        <v/>
      </c>
      <c r="U64" s="9">
        <f>IF(AND(14&gt;=$D64,14&lt;=$E64),IF($F64="완료","●",IF($F64="진행중","▶",IF($F64="제외",".",IF($F64="보류","◇","■")))),"")</f>
        <v/>
      </c>
      <c r="V64" s="9">
        <f>IF(AND(15&gt;=$D64,15&lt;=$E64),IF($F64="완료","●",IF($F64="진행중","▶",IF($F64="제외",".",IF($F64="보류","◇","■")))),"")</f>
        <v/>
      </c>
    </row>
    <row r="65" outlineLevel="2" ht="18" customHeight="1">
      <c r="A65" s="9">
        <f>WBS!A65</f>
        <v/>
      </c>
      <c r="B65" s="21">
        <f>WBS!C65</f>
        <v/>
      </c>
      <c r="C65" s="9">
        <f>WBS!K65</f>
        <v/>
      </c>
      <c r="D65" s="9">
        <f>WBS!G65</f>
        <v/>
      </c>
      <c r="E65" s="9">
        <f>WBS!H65</f>
        <v/>
      </c>
      <c r="F65" s="9">
        <f>WBS!O65</f>
        <v/>
      </c>
      <c r="G65" s="14">
        <f>WBS!P65</f>
        <v/>
      </c>
      <c r="H65" s="9">
        <f>IF(AND(1&gt;=$D65,1&lt;=$E65),IF($F65="완료","●",IF($F65="진행중","▶",IF($F65="제외",".",IF($F65="보류","◇","■")))),"")</f>
        <v/>
      </c>
      <c r="I65" s="9">
        <f>IF(AND(2&gt;=$D65,2&lt;=$E65),IF($F65="완료","●",IF($F65="진행중","▶",IF($F65="제외",".",IF($F65="보류","◇","■")))),"")</f>
        <v/>
      </c>
      <c r="J65" s="9">
        <f>IF(AND(3&gt;=$D65,3&lt;=$E65),IF($F65="완료","●",IF($F65="진행중","▶",IF($F65="제외",".",IF($F65="보류","◇","■")))),"")</f>
        <v/>
      </c>
      <c r="K65" s="9">
        <f>IF(AND(4&gt;=$D65,4&lt;=$E65),IF($F65="완료","●",IF($F65="진행중","▶",IF($F65="제외",".",IF($F65="보류","◇","■")))),"")</f>
        <v/>
      </c>
      <c r="L65" s="9">
        <f>IF(AND(5&gt;=$D65,5&lt;=$E65),IF($F65="완료","●",IF($F65="진행중","▶",IF($F65="제외",".",IF($F65="보류","◇","■")))),"")</f>
        <v/>
      </c>
      <c r="M65" s="9">
        <f>IF(AND(6&gt;=$D65,6&lt;=$E65),IF($F65="완료","●",IF($F65="진행중","▶",IF($F65="제외",".",IF($F65="보류","◇","■")))),"")</f>
        <v/>
      </c>
      <c r="N65" s="9">
        <f>IF(AND(7&gt;=$D65,7&lt;=$E65),IF($F65="완료","●",IF($F65="진행중","▶",IF($F65="제외",".",IF($F65="보류","◇","■")))),"")</f>
        <v/>
      </c>
      <c r="O65" s="9">
        <f>IF(AND(8&gt;=$D65,8&lt;=$E65),IF($F65="완료","●",IF($F65="진행중","▶",IF($F65="제외",".",IF($F65="보류","◇","■")))),"")</f>
        <v/>
      </c>
      <c r="P65" s="9">
        <f>IF(AND(9&gt;=$D65,9&lt;=$E65),IF($F65="완료","●",IF($F65="진행중","▶",IF($F65="제외",".",IF($F65="보류","◇","■")))),"")</f>
        <v/>
      </c>
      <c r="Q65" s="9">
        <f>IF(AND(10&gt;=$D65,10&lt;=$E65),IF($F65="완료","●",IF($F65="진행중","▶",IF($F65="제외",".",IF($F65="보류","◇","■")))),"")</f>
        <v/>
      </c>
      <c r="R65" s="9">
        <f>IF(AND(11&gt;=$D65,11&lt;=$E65),IF($F65="완료","●",IF($F65="진행중","▶",IF($F65="제외",".",IF($F65="보류","◇","■")))),"")</f>
        <v/>
      </c>
      <c r="S65" s="9">
        <f>IF(AND(12&gt;=$D65,12&lt;=$E65),IF($F65="완료","●",IF($F65="진행중","▶",IF($F65="제외",".",IF($F65="보류","◇","■")))),"")</f>
        <v/>
      </c>
      <c r="T65" s="9">
        <f>IF(AND(13&gt;=$D65,13&lt;=$E65),IF($F65="완료","●",IF($F65="진행중","▶",IF($F65="제외",".",IF($F65="보류","◇","■")))),"")</f>
        <v/>
      </c>
      <c r="U65" s="9">
        <f>IF(AND(14&gt;=$D65,14&lt;=$E65),IF($F65="완료","●",IF($F65="진행중","▶",IF($F65="제외",".",IF($F65="보류","◇","■")))),"")</f>
        <v/>
      </c>
      <c r="V65" s="9">
        <f>IF(AND(15&gt;=$D65,15&lt;=$E65),IF($F65="완료","●",IF($F65="진행중","▶",IF($F65="제외",".",IF($F65="보류","◇","■")))),"")</f>
        <v/>
      </c>
    </row>
    <row r="66" outlineLevel="2" ht="18" customHeight="1">
      <c r="A66" s="9">
        <f>WBS!A66</f>
        <v/>
      </c>
      <c r="B66" s="21">
        <f>WBS!C66</f>
        <v/>
      </c>
      <c r="C66" s="9">
        <f>WBS!K66</f>
        <v/>
      </c>
      <c r="D66" s="9">
        <f>WBS!G66</f>
        <v/>
      </c>
      <c r="E66" s="9">
        <f>WBS!H66</f>
        <v/>
      </c>
      <c r="F66" s="9">
        <f>WBS!O66</f>
        <v/>
      </c>
      <c r="G66" s="14">
        <f>WBS!P66</f>
        <v/>
      </c>
      <c r="H66" s="9">
        <f>IF(AND(1&gt;=$D66,1&lt;=$E66),IF($F66="완료","●",IF($F66="진행중","▶",IF($F66="제외",".",IF($F66="보류","◇","■")))),"")</f>
        <v/>
      </c>
      <c r="I66" s="9">
        <f>IF(AND(2&gt;=$D66,2&lt;=$E66),IF($F66="완료","●",IF($F66="진행중","▶",IF($F66="제외",".",IF($F66="보류","◇","■")))),"")</f>
        <v/>
      </c>
      <c r="J66" s="9">
        <f>IF(AND(3&gt;=$D66,3&lt;=$E66),IF($F66="완료","●",IF($F66="진행중","▶",IF($F66="제외",".",IF($F66="보류","◇","■")))),"")</f>
        <v/>
      </c>
      <c r="K66" s="9">
        <f>IF(AND(4&gt;=$D66,4&lt;=$E66),IF($F66="완료","●",IF($F66="진행중","▶",IF($F66="제외",".",IF($F66="보류","◇","■")))),"")</f>
        <v/>
      </c>
      <c r="L66" s="9">
        <f>IF(AND(5&gt;=$D66,5&lt;=$E66),IF($F66="완료","●",IF($F66="진행중","▶",IF($F66="제외",".",IF($F66="보류","◇","■")))),"")</f>
        <v/>
      </c>
      <c r="M66" s="9">
        <f>IF(AND(6&gt;=$D66,6&lt;=$E66),IF($F66="완료","●",IF($F66="진행중","▶",IF($F66="제외",".",IF($F66="보류","◇","■")))),"")</f>
        <v/>
      </c>
      <c r="N66" s="9">
        <f>IF(AND(7&gt;=$D66,7&lt;=$E66),IF($F66="완료","●",IF($F66="진행중","▶",IF($F66="제외",".",IF($F66="보류","◇","■")))),"")</f>
        <v/>
      </c>
      <c r="O66" s="9">
        <f>IF(AND(8&gt;=$D66,8&lt;=$E66),IF($F66="완료","●",IF($F66="진행중","▶",IF($F66="제외",".",IF($F66="보류","◇","■")))),"")</f>
        <v/>
      </c>
      <c r="P66" s="9">
        <f>IF(AND(9&gt;=$D66,9&lt;=$E66),IF($F66="완료","●",IF($F66="진행중","▶",IF($F66="제외",".",IF($F66="보류","◇","■")))),"")</f>
        <v/>
      </c>
      <c r="Q66" s="9">
        <f>IF(AND(10&gt;=$D66,10&lt;=$E66),IF($F66="완료","●",IF($F66="진행중","▶",IF($F66="제외",".",IF($F66="보류","◇","■")))),"")</f>
        <v/>
      </c>
      <c r="R66" s="9">
        <f>IF(AND(11&gt;=$D66,11&lt;=$E66),IF($F66="완료","●",IF($F66="진행중","▶",IF($F66="제외",".",IF($F66="보류","◇","■")))),"")</f>
        <v/>
      </c>
      <c r="S66" s="9">
        <f>IF(AND(12&gt;=$D66,12&lt;=$E66),IF($F66="완료","●",IF($F66="진행중","▶",IF($F66="제외",".",IF($F66="보류","◇","■")))),"")</f>
        <v/>
      </c>
      <c r="T66" s="9">
        <f>IF(AND(13&gt;=$D66,13&lt;=$E66),IF($F66="완료","●",IF($F66="진행중","▶",IF($F66="제외",".",IF($F66="보류","◇","■")))),"")</f>
        <v/>
      </c>
      <c r="U66" s="9">
        <f>IF(AND(14&gt;=$D66,14&lt;=$E66),IF($F66="완료","●",IF($F66="진행중","▶",IF($F66="제외",".",IF($F66="보류","◇","■")))),"")</f>
        <v/>
      </c>
      <c r="V66" s="9">
        <f>IF(AND(15&gt;=$D66,15&lt;=$E66),IF($F66="완료","●",IF($F66="진행중","▶",IF($F66="제외",".",IF($F66="보류","◇","■")))),"")</f>
        <v/>
      </c>
    </row>
    <row r="67" outlineLevel="2" ht="18" customHeight="1">
      <c r="A67" s="9">
        <f>WBS!A67</f>
        <v/>
      </c>
      <c r="B67" s="21">
        <f>WBS!C67</f>
        <v/>
      </c>
      <c r="C67" s="9">
        <f>WBS!K67</f>
        <v/>
      </c>
      <c r="D67" s="9">
        <f>WBS!G67</f>
        <v/>
      </c>
      <c r="E67" s="9">
        <f>WBS!H67</f>
        <v/>
      </c>
      <c r="F67" s="9">
        <f>WBS!O67</f>
        <v/>
      </c>
      <c r="G67" s="14">
        <f>WBS!P67</f>
        <v/>
      </c>
      <c r="H67" s="9">
        <f>IF(AND(1&gt;=$D67,1&lt;=$E67),IF($F67="완료","●",IF($F67="진행중","▶",IF($F67="제외",".",IF($F67="보류","◇","■")))),"")</f>
        <v/>
      </c>
      <c r="I67" s="9">
        <f>IF(AND(2&gt;=$D67,2&lt;=$E67),IF($F67="완료","●",IF($F67="진행중","▶",IF($F67="제외",".",IF($F67="보류","◇","■")))),"")</f>
        <v/>
      </c>
      <c r="J67" s="9">
        <f>IF(AND(3&gt;=$D67,3&lt;=$E67),IF($F67="완료","●",IF($F67="진행중","▶",IF($F67="제외",".",IF($F67="보류","◇","■")))),"")</f>
        <v/>
      </c>
      <c r="K67" s="9">
        <f>IF(AND(4&gt;=$D67,4&lt;=$E67),IF($F67="완료","●",IF($F67="진행중","▶",IF($F67="제외",".",IF($F67="보류","◇","■")))),"")</f>
        <v/>
      </c>
      <c r="L67" s="9">
        <f>IF(AND(5&gt;=$D67,5&lt;=$E67),IF($F67="완료","●",IF($F67="진행중","▶",IF($F67="제외",".",IF($F67="보류","◇","■")))),"")</f>
        <v/>
      </c>
      <c r="M67" s="9">
        <f>IF(AND(6&gt;=$D67,6&lt;=$E67),IF($F67="완료","●",IF($F67="진행중","▶",IF($F67="제외",".",IF($F67="보류","◇","■")))),"")</f>
        <v/>
      </c>
      <c r="N67" s="9">
        <f>IF(AND(7&gt;=$D67,7&lt;=$E67),IF($F67="완료","●",IF($F67="진행중","▶",IF($F67="제외",".",IF($F67="보류","◇","■")))),"")</f>
        <v/>
      </c>
      <c r="O67" s="9">
        <f>IF(AND(8&gt;=$D67,8&lt;=$E67),IF($F67="완료","●",IF($F67="진행중","▶",IF($F67="제외",".",IF($F67="보류","◇","■")))),"")</f>
        <v/>
      </c>
      <c r="P67" s="9">
        <f>IF(AND(9&gt;=$D67,9&lt;=$E67),IF($F67="완료","●",IF($F67="진행중","▶",IF($F67="제외",".",IF($F67="보류","◇","■")))),"")</f>
        <v/>
      </c>
      <c r="Q67" s="9">
        <f>IF(AND(10&gt;=$D67,10&lt;=$E67),IF($F67="완료","●",IF($F67="진행중","▶",IF($F67="제외",".",IF($F67="보류","◇","■")))),"")</f>
        <v/>
      </c>
      <c r="R67" s="9">
        <f>IF(AND(11&gt;=$D67,11&lt;=$E67),IF($F67="완료","●",IF($F67="진행중","▶",IF($F67="제외",".",IF($F67="보류","◇","■")))),"")</f>
        <v/>
      </c>
      <c r="S67" s="9">
        <f>IF(AND(12&gt;=$D67,12&lt;=$E67),IF($F67="완료","●",IF($F67="진행중","▶",IF($F67="제외",".",IF($F67="보류","◇","■")))),"")</f>
        <v/>
      </c>
      <c r="T67" s="9">
        <f>IF(AND(13&gt;=$D67,13&lt;=$E67),IF($F67="완료","●",IF($F67="진행중","▶",IF($F67="제외",".",IF($F67="보류","◇","■")))),"")</f>
        <v/>
      </c>
      <c r="U67" s="9">
        <f>IF(AND(14&gt;=$D67,14&lt;=$E67),IF($F67="완료","●",IF($F67="진행중","▶",IF($F67="제외",".",IF($F67="보류","◇","■")))),"")</f>
        <v/>
      </c>
      <c r="V67" s="9">
        <f>IF(AND(15&gt;=$D67,15&lt;=$E67),IF($F67="완료","●",IF($F67="진행중","▶",IF($F67="제외",".",IF($F67="보류","◇","■")))),"")</f>
        <v/>
      </c>
    </row>
    <row r="68" outlineLevel="1" ht="18" customHeight="1">
      <c r="A68" s="35">
        <f>WBS!A68</f>
        <v/>
      </c>
      <c r="B68" s="36">
        <f>WBS!C68</f>
        <v/>
      </c>
      <c r="C68" s="35">
        <f>WBS!K68</f>
        <v/>
      </c>
      <c r="D68" s="35">
        <f>WBS!G68</f>
        <v/>
      </c>
      <c r="E68" s="35">
        <f>WBS!H68</f>
        <v/>
      </c>
      <c r="F68" s="35">
        <f>WBS!O68</f>
        <v/>
      </c>
      <c r="G68" s="37">
        <f>WBS!P68</f>
        <v/>
      </c>
      <c r="H68" s="9">
        <f>IF(AND(1&gt;=$D68,1&lt;=$E68),IF($F68="완료","●",IF($F68="진행중","▶",IF($F68="제외",".",IF($F68="보류","◇","■")))),"")</f>
        <v/>
      </c>
      <c r="I68" s="9">
        <f>IF(AND(2&gt;=$D68,2&lt;=$E68),IF($F68="완료","●",IF($F68="진행중","▶",IF($F68="제외",".",IF($F68="보류","◇","■")))),"")</f>
        <v/>
      </c>
      <c r="J68" s="9">
        <f>IF(AND(3&gt;=$D68,3&lt;=$E68),IF($F68="완료","●",IF($F68="진행중","▶",IF($F68="제외",".",IF($F68="보류","◇","■")))),"")</f>
        <v/>
      </c>
      <c r="K68" s="9">
        <f>IF(AND(4&gt;=$D68,4&lt;=$E68),IF($F68="완료","●",IF($F68="진행중","▶",IF($F68="제외",".",IF($F68="보류","◇","■")))),"")</f>
        <v/>
      </c>
      <c r="L68" s="9">
        <f>IF(AND(5&gt;=$D68,5&lt;=$E68),IF($F68="완료","●",IF($F68="진행중","▶",IF($F68="제외",".",IF($F68="보류","◇","■")))),"")</f>
        <v/>
      </c>
      <c r="M68" s="9">
        <f>IF(AND(6&gt;=$D68,6&lt;=$E68),IF($F68="완료","●",IF($F68="진행중","▶",IF($F68="제외",".",IF($F68="보류","◇","■")))),"")</f>
        <v/>
      </c>
      <c r="N68" s="9">
        <f>IF(AND(7&gt;=$D68,7&lt;=$E68),IF($F68="완료","●",IF($F68="진행중","▶",IF($F68="제외",".",IF($F68="보류","◇","■")))),"")</f>
        <v/>
      </c>
      <c r="O68" s="9">
        <f>IF(AND(8&gt;=$D68,8&lt;=$E68),IF($F68="완료","●",IF($F68="진행중","▶",IF($F68="제외",".",IF($F68="보류","◇","■")))),"")</f>
        <v/>
      </c>
      <c r="P68" s="9">
        <f>IF(AND(9&gt;=$D68,9&lt;=$E68),IF($F68="완료","●",IF($F68="진행중","▶",IF($F68="제외",".",IF($F68="보류","◇","■")))),"")</f>
        <v/>
      </c>
      <c r="Q68" s="9">
        <f>IF(AND(10&gt;=$D68,10&lt;=$E68),IF($F68="완료","●",IF($F68="진행중","▶",IF($F68="제외",".",IF($F68="보류","◇","■")))),"")</f>
        <v/>
      </c>
      <c r="R68" s="9">
        <f>IF(AND(11&gt;=$D68,11&lt;=$E68),IF($F68="완료","●",IF($F68="진행중","▶",IF($F68="제외",".",IF($F68="보류","◇","■")))),"")</f>
        <v/>
      </c>
      <c r="S68" s="9">
        <f>IF(AND(12&gt;=$D68,12&lt;=$E68),IF($F68="완료","●",IF($F68="진행중","▶",IF($F68="제외",".",IF($F68="보류","◇","■")))),"")</f>
        <v/>
      </c>
      <c r="T68" s="9">
        <f>IF(AND(13&gt;=$D68,13&lt;=$E68),IF($F68="완료","●",IF($F68="진행중","▶",IF($F68="제외",".",IF($F68="보류","◇","■")))),"")</f>
        <v/>
      </c>
      <c r="U68" s="9">
        <f>IF(AND(14&gt;=$D68,14&lt;=$E68),IF($F68="완료","●",IF($F68="진행중","▶",IF($F68="제외",".",IF($F68="보류","◇","■")))),"")</f>
        <v/>
      </c>
      <c r="V68" s="9">
        <f>IF(AND(15&gt;=$D68,15&lt;=$E68),IF($F68="완료","●",IF($F68="진행중","▶",IF($F68="제외",".",IF($F68="보류","◇","■")))),"")</f>
        <v/>
      </c>
    </row>
    <row r="69" outlineLevel="2" ht="18" customHeight="1">
      <c r="A69" s="9">
        <f>WBS!A69</f>
        <v/>
      </c>
      <c r="B69" s="21">
        <f>WBS!C69</f>
        <v/>
      </c>
      <c r="C69" s="9">
        <f>WBS!K69</f>
        <v/>
      </c>
      <c r="D69" s="9">
        <f>WBS!G69</f>
        <v/>
      </c>
      <c r="E69" s="9">
        <f>WBS!H69</f>
        <v/>
      </c>
      <c r="F69" s="9">
        <f>WBS!O69</f>
        <v/>
      </c>
      <c r="G69" s="14">
        <f>WBS!P69</f>
        <v/>
      </c>
      <c r="H69" s="9">
        <f>IF(AND(1&gt;=$D69,1&lt;=$E69),IF($F69="완료","●",IF($F69="진행중","▶",IF($F69="제외",".",IF($F69="보류","◇","■")))),"")</f>
        <v/>
      </c>
      <c r="I69" s="9">
        <f>IF(AND(2&gt;=$D69,2&lt;=$E69),IF($F69="완료","●",IF($F69="진행중","▶",IF($F69="제외",".",IF($F69="보류","◇","■")))),"")</f>
        <v/>
      </c>
      <c r="J69" s="9">
        <f>IF(AND(3&gt;=$D69,3&lt;=$E69),IF($F69="완료","●",IF($F69="진행중","▶",IF($F69="제외",".",IF($F69="보류","◇","■")))),"")</f>
        <v/>
      </c>
      <c r="K69" s="9">
        <f>IF(AND(4&gt;=$D69,4&lt;=$E69),IF($F69="완료","●",IF($F69="진행중","▶",IF($F69="제외",".",IF($F69="보류","◇","■")))),"")</f>
        <v/>
      </c>
      <c r="L69" s="9">
        <f>IF(AND(5&gt;=$D69,5&lt;=$E69),IF($F69="완료","●",IF($F69="진행중","▶",IF($F69="제외",".",IF($F69="보류","◇","■")))),"")</f>
        <v/>
      </c>
      <c r="M69" s="9">
        <f>IF(AND(6&gt;=$D69,6&lt;=$E69),IF($F69="완료","●",IF($F69="진행중","▶",IF($F69="제외",".",IF($F69="보류","◇","■")))),"")</f>
        <v/>
      </c>
      <c r="N69" s="9">
        <f>IF(AND(7&gt;=$D69,7&lt;=$E69),IF($F69="완료","●",IF($F69="진행중","▶",IF($F69="제외",".",IF($F69="보류","◇","■")))),"")</f>
        <v/>
      </c>
      <c r="O69" s="9">
        <f>IF(AND(8&gt;=$D69,8&lt;=$E69),IF($F69="완료","●",IF($F69="진행중","▶",IF($F69="제외",".",IF($F69="보류","◇","■")))),"")</f>
        <v/>
      </c>
      <c r="P69" s="9">
        <f>IF(AND(9&gt;=$D69,9&lt;=$E69),IF($F69="완료","●",IF($F69="진행중","▶",IF($F69="제외",".",IF($F69="보류","◇","■")))),"")</f>
        <v/>
      </c>
      <c r="Q69" s="9">
        <f>IF(AND(10&gt;=$D69,10&lt;=$E69),IF($F69="완료","●",IF($F69="진행중","▶",IF($F69="제외",".",IF($F69="보류","◇","■")))),"")</f>
        <v/>
      </c>
      <c r="R69" s="9">
        <f>IF(AND(11&gt;=$D69,11&lt;=$E69),IF($F69="완료","●",IF($F69="진행중","▶",IF($F69="제외",".",IF($F69="보류","◇","■")))),"")</f>
        <v/>
      </c>
      <c r="S69" s="9">
        <f>IF(AND(12&gt;=$D69,12&lt;=$E69),IF($F69="완료","●",IF($F69="진행중","▶",IF($F69="제외",".",IF($F69="보류","◇","■")))),"")</f>
        <v/>
      </c>
      <c r="T69" s="9">
        <f>IF(AND(13&gt;=$D69,13&lt;=$E69),IF($F69="완료","●",IF($F69="진행중","▶",IF($F69="제외",".",IF($F69="보류","◇","■")))),"")</f>
        <v/>
      </c>
      <c r="U69" s="9">
        <f>IF(AND(14&gt;=$D69,14&lt;=$E69),IF($F69="완료","●",IF($F69="진행중","▶",IF($F69="제외",".",IF($F69="보류","◇","■")))),"")</f>
        <v/>
      </c>
      <c r="V69" s="9">
        <f>IF(AND(15&gt;=$D69,15&lt;=$E69),IF($F69="완료","●",IF($F69="진행중","▶",IF($F69="제외",".",IF($F69="보류","◇","■")))),"")</f>
        <v/>
      </c>
    </row>
    <row r="70" outlineLevel="2" ht="18" customHeight="1">
      <c r="A70" s="9">
        <f>WBS!A70</f>
        <v/>
      </c>
      <c r="B70" s="21">
        <f>WBS!C70</f>
        <v/>
      </c>
      <c r="C70" s="9">
        <f>WBS!K70</f>
        <v/>
      </c>
      <c r="D70" s="9">
        <f>WBS!G70</f>
        <v/>
      </c>
      <c r="E70" s="9">
        <f>WBS!H70</f>
        <v/>
      </c>
      <c r="F70" s="9">
        <f>WBS!O70</f>
        <v/>
      </c>
      <c r="G70" s="14">
        <f>WBS!P70</f>
        <v/>
      </c>
      <c r="H70" s="9">
        <f>IF(AND(1&gt;=$D70,1&lt;=$E70),IF($F70="완료","●",IF($F70="진행중","▶",IF($F70="제외",".",IF($F70="보류","◇","■")))),"")</f>
        <v/>
      </c>
      <c r="I70" s="9">
        <f>IF(AND(2&gt;=$D70,2&lt;=$E70),IF($F70="완료","●",IF($F70="진행중","▶",IF($F70="제외",".",IF($F70="보류","◇","■")))),"")</f>
        <v/>
      </c>
      <c r="J70" s="9">
        <f>IF(AND(3&gt;=$D70,3&lt;=$E70),IF($F70="완료","●",IF($F70="진행중","▶",IF($F70="제외",".",IF($F70="보류","◇","■")))),"")</f>
        <v/>
      </c>
      <c r="K70" s="9">
        <f>IF(AND(4&gt;=$D70,4&lt;=$E70),IF($F70="완료","●",IF($F70="진행중","▶",IF($F70="제외",".",IF($F70="보류","◇","■")))),"")</f>
        <v/>
      </c>
      <c r="L70" s="9">
        <f>IF(AND(5&gt;=$D70,5&lt;=$E70),IF($F70="완료","●",IF($F70="진행중","▶",IF($F70="제외",".",IF($F70="보류","◇","■")))),"")</f>
        <v/>
      </c>
      <c r="M70" s="9">
        <f>IF(AND(6&gt;=$D70,6&lt;=$E70),IF($F70="완료","●",IF($F70="진행중","▶",IF($F70="제외",".",IF($F70="보류","◇","■")))),"")</f>
        <v/>
      </c>
      <c r="N70" s="9">
        <f>IF(AND(7&gt;=$D70,7&lt;=$E70),IF($F70="완료","●",IF($F70="진행중","▶",IF($F70="제외",".",IF($F70="보류","◇","■")))),"")</f>
        <v/>
      </c>
      <c r="O70" s="9">
        <f>IF(AND(8&gt;=$D70,8&lt;=$E70),IF($F70="완료","●",IF($F70="진행중","▶",IF($F70="제외",".",IF($F70="보류","◇","■")))),"")</f>
        <v/>
      </c>
      <c r="P70" s="9">
        <f>IF(AND(9&gt;=$D70,9&lt;=$E70),IF($F70="완료","●",IF($F70="진행중","▶",IF($F70="제외",".",IF($F70="보류","◇","■")))),"")</f>
        <v/>
      </c>
      <c r="Q70" s="9">
        <f>IF(AND(10&gt;=$D70,10&lt;=$E70),IF($F70="완료","●",IF($F70="진행중","▶",IF($F70="제외",".",IF($F70="보류","◇","■")))),"")</f>
        <v/>
      </c>
      <c r="R70" s="9">
        <f>IF(AND(11&gt;=$D70,11&lt;=$E70),IF($F70="완료","●",IF($F70="진행중","▶",IF($F70="제외",".",IF($F70="보류","◇","■")))),"")</f>
        <v/>
      </c>
      <c r="S70" s="9">
        <f>IF(AND(12&gt;=$D70,12&lt;=$E70),IF($F70="완료","●",IF($F70="진행중","▶",IF($F70="제외",".",IF($F70="보류","◇","■")))),"")</f>
        <v/>
      </c>
      <c r="T70" s="9">
        <f>IF(AND(13&gt;=$D70,13&lt;=$E70),IF($F70="완료","●",IF($F70="진행중","▶",IF($F70="제외",".",IF($F70="보류","◇","■")))),"")</f>
        <v/>
      </c>
      <c r="U70" s="9">
        <f>IF(AND(14&gt;=$D70,14&lt;=$E70),IF($F70="완료","●",IF($F70="진행중","▶",IF($F70="제외",".",IF($F70="보류","◇","■")))),"")</f>
        <v/>
      </c>
      <c r="V70" s="9">
        <f>IF(AND(15&gt;=$D70,15&lt;=$E70),IF($F70="완료","●",IF($F70="진행중","▶",IF($F70="제외",".",IF($F70="보류","◇","■")))),"")</f>
        <v/>
      </c>
    </row>
    <row r="71" outlineLevel="2" ht="18" customHeight="1">
      <c r="A71" s="9">
        <f>WBS!A71</f>
        <v/>
      </c>
      <c r="B71" s="21">
        <f>WBS!C71</f>
        <v/>
      </c>
      <c r="C71" s="9">
        <f>WBS!K71</f>
        <v/>
      </c>
      <c r="D71" s="9">
        <f>WBS!G71</f>
        <v/>
      </c>
      <c r="E71" s="9">
        <f>WBS!H71</f>
        <v/>
      </c>
      <c r="F71" s="9">
        <f>WBS!O71</f>
        <v/>
      </c>
      <c r="G71" s="14">
        <f>WBS!P71</f>
        <v/>
      </c>
      <c r="H71" s="9">
        <f>IF(AND(1&gt;=$D71,1&lt;=$E71),IF($F71="완료","●",IF($F71="진행중","▶",IF($F71="제외",".",IF($F71="보류","◇","■")))),"")</f>
        <v/>
      </c>
      <c r="I71" s="9">
        <f>IF(AND(2&gt;=$D71,2&lt;=$E71),IF($F71="완료","●",IF($F71="진행중","▶",IF($F71="제외",".",IF($F71="보류","◇","■")))),"")</f>
        <v/>
      </c>
      <c r="J71" s="9">
        <f>IF(AND(3&gt;=$D71,3&lt;=$E71),IF($F71="완료","●",IF($F71="진행중","▶",IF($F71="제외",".",IF($F71="보류","◇","■")))),"")</f>
        <v/>
      </c>
      <c r="K71" s="9">
        <f>IF(AND(4&gt;=$D71,4&lt;=$E71),IF($F71="완료","●",IF($F71="진행중","▶",IF($F71="제외",".",IF($F71="보류","◇","■")))),"")</f>
        <v/>
      </c>
      <c r="L71" s="9">
        <f>IF(AND(5&gt;=$D71,5&lt;=$E71),IF($F71="완료","●",IF($F71="진행중","▶",IF($F71="제외",".",IF($F71="보류","◇","■")))),"")</f>
        <v/>
      </c>
      <c r="M71" s="9">
        <f>IF(AND(6&gt;=$D71,6&lt;=$E71),IF($F71="완료","●",IF($F71="진행중","▶",IF($F71="제외",".",IF($F71="보류","◇","■")))),"")</f>
        <v/>
      </c>
      <c r="N71" s="9">
        <f>IF(AND(7&gt;=$D71,7&lt;=$E71),IF($F71="완료","●",IF($F71="진행중","▶",IF($F71="제외",".",IF($F71="보류","◇","■")))),"")</f>
        <v/>
      </c>
      <c r="O71" s="9">
        <f>IF(AND(8&gt;=$D71,8&lt;=$E71),IF($F71="완료","●",IF($F71="진행중","▶",IF($F71="제외",".",IF($F71="보류","◇","■")))),"")</f>
        <v/>
      </c>
      <c r="P71" s="9">
        <f>IF(AND(9&gt;=$D71,9&lt;=$E71),IF($F71="완료","●",IF($F71="진행중","▶",IF($F71="제외",".",IF($F71="보류","◇","■")))),"")</f>
        <v/>
      </c>
      <c r="Q71" s="9">
        <f>IF(AND(10&gt;=$D71,10&lt;=$E71),IF($F71="완료","●",IF($F71="진행중","▶",IF($F71="제외",".",IF($F71="보류","◇","■")))),"")</f>
        <v/>
      </c>
      <c r="R71" s="9">
        <f>IF(AND(11&gt;=$D71,11&lt;=$E71),IF($F71="완료","●",IF($F71="진행중","▶",IF($F71="제외",".",IF($F71="보류","◇","■")))),"")</f>
        <v/>
      </c>
      <c r="S71" s="9">
        <f>IF(AND(12&gt;=$D71,12&lt;=$E71),IF($F71="완료","●",IF($F71="진행중","▶",IF($F71="제외",".",IF($F71="보류","◇","■")))),"")</f>
        <v/>
      </c>
      <c r="T71" s="9">
        <f>IF(AND(13&gt;=$D71,13&lt;=$E71),IF($F71="완료","●",IF($F71="진행중","▶",IF($F71="제외",".",IF($F71="보류","◇","■")))),"")</f>
        <v/>
      </c>
      <c r="U71" s="9">
        <f>IF(AND(14&gt;=$D71,14&lt;=$E71),IF($F71="완료","●",IF($F71="진행중","▶",IF($F71="제외",".",IF($F71="보류","◇","■")))),"")</f>
        <v/>
      </c>
      <c r="V71" s="9">
        <f>IF(AND(15&gt;=$D71,15&lt;=$E71),IF($F71="완료","●",IF($F71="진행중","▶",IF($F71="제외",".",IF($F71="보류","◇","■")))),"")</f>
        <v/>
      </c>
    </row>
    <row r="72" outlineLevel="1" ht="18" customHeight="1">
      <c r="A72" s="35">
        <f>WBS!A72</f>
        <v/>
      </c>
      <c r="B72" s="36">
        <f>WBS!C72</f>
        <v/>
      </c>
      <c r="C72" s="35">
        <f>WBS!K72</f>
        <v/>
      </c>
      <c r="D72" s="35">
        <f>WBS!G72</f>
        <v/>
      </c>
      <c r="E72" s="35">
        <f>WBS!H72</f>
        <v/>
      </c>
      <c r="F72" s="35">
        <f>WBS!O72</f>
        <v/>
      </c>
      <c r="G72" s="37">
        <f>WBS!P72</f>
        <v/>
      </c>
      <c r="H72" s="9">
        <f>IF(AND(1&gt;=$D72,1&lt;=$E72),IF($F72="완료","●",IF($F72="진행중","▶",IF($F72="제외",".",IF($F72="보류","◇","■")))),"")</f>
        <v/>
      </c>
      <c r="I72" s="9">
        <f>IF(AND(2&gt;=$D72,2&lt;=$E72),IF($F72="완료","●",IF($F72="진행중","▶",IF($F72="제외",".",IF($F72="보류","◇","■")))),"")</f>
        <v/>
      </c>
      <c r="J72" s="9">
        <f>IF(AND(3&gt;=$D72,3&lt;=$E72),IF($F72="완료","●",IF($F72="진행중","▶",IF($F72="제외",".",IF($F72="보류","◇","■")))),"")</f>
        <v/>
      </c>
      <c r="K72" s="9">
        <f>IF(AND(4&gt;=$D72,4&lt;=$E72),IF($F72="완료","●",IF($F72="진행중","▶",IF($F72="제외",".",IF($F72="보류","◇","■")))),"")</f>
        <v/>
      </c>
      <c r="L72" s="9">
        <f>IF(AND(5&gt;=$D72,5&lt;=$E72),IF($F72="완료","●",IF($F72="진행중","▶",IF($F72="제외",".",IF($F72="보류","◇","■")))),"")</f>
        <v/>
      </c>
      <c r="M72" s="9">
        <f>IF(AND(6&gt;=$D72,6&lt;=$E72),IF($F72="완료","●",IF($F72="진행중","▶",IF($F72="제외",".",IF($F72="보류","◇","■")))),"")</f>
        <v/>
      </c>
      <c r="N72" s="9">
        <f>IF(AND(7&gt;=$D72,7&lt;=$E72),IF($F72="완료","●",IF($F72="진행중","▶",IF($F72="제외",".",IF($F72="보류","◇","■")))),"")</f>
        <v/>
      </c>
      <c r="O72" s="9">
        <f>IF(AND(8&gt;=$D72,8&lt;=$E72),IF($F72="완료","●",IF($F72="진행중","▶",IF($F72="제외",".",IF($F72="보류","◇","■")))),"")</f>
        <v/>
      </c>
      <c r="P72" s="9">
        <f>IF(AND(9&gt;=$D72,9&lt;=$E72),IF($F72="완료","●",IF($F72="진행중","▶",IF($F72="제외",".",IF($F72="보류","◇","■")))),"")</f>
        <v/>
      </c>
      <c r="Q72" s="9">
        <f>IF(AND(10&gt;=$D72,10&lt;=$E72),IF($F72="완료","●",IF($F72="진행중","▶",IF($F72="제외",".",IF($F72="보류","◇","■")))),"")</f>
        <v/>
      </c>
      <c r="R72" s="9">
        <f>IF(AND(11&gt;=$D72,11&lt;=$E72),IF($F72="완료","●",IF($F72="진행중","▶",IF($F72="제외",".",IF($F72="보류","◇","■")))),"")</f>
        <v/>
      </c>
      <c r="S72" s="9">
        <f>IF(AND(12&gt;=$D72,12&lt;=$E72),IF($F72="완료","●",IF($F72="진행중","▶",IF($F72="제외",".",IF($F72="보류","◇","■")))),"")</f>
        <v/>
      </c>
      <c r="T72" s="9">
        <f>IF(AND(13&gt;=$D72,13&lt;=$E72),IF($F72="완료","●",IF($F72="진행중","▶",IF($F72="제외",".",IF($F72="보류","◇","■")))),"")</f>
        <v/>
      </c>
      <c r="U72" s="9">
        <f>IF(AND(14&gt;=$D72,14&lt;=$E72),IF($F72="완료","●",IF($F72="진행중","▶",IF($F72="제외",".",IF($F72="보류","◇","■")))),"")</f>
        <v/>
      </c>
      <c r="V72" s="9">
        <f>IF(AND(15&gt;=$D72,15&lt;=$E72),IF($F72="완료","●",IF($F72="진행중","▶",IF($F72="제외",".",IF($F72="보류","◇","■")))),"")</f>
        <v/>
      </c>
    </row>
    <row r="73" outlineLevel="2" ht="18" customHeight="1">
      <c r="A73" s="9">
        <f>WBS!A73</f>
        <v/>
      </c>
      <c r="B73" s="21">
        <f>WBS!C73</f>
        <v/>
      </c>
      <c r="C73" s="9">
        <f>WBS!K73</f>
        <v/>
      </c>
      <c r="D73" s="9">
        <f>WBS!G73</f>
        <v/>
      </c>
      <c r="E73" s="9">
        <f>WBS!H73</f>
        <v/>
      </c>
      <c r="F73" s="9">
        <f>WBS!O73</f>
        <v/>
      </c>
      <c r="G73" s="14">
        <f>WBS!P73</f>
        <v/>
      </c>
      <c r="H73" s="9">
        <f>IF(AND(1&gt;=$D73,1&lt;=$E73),IF($F73="완료","●",IF($F73="진행중","▶",IF($F73="제외",".",IF($F73="보류","◇","■")))),"")</f>
        <v/>
      </c>
      <c r="I73" s="9">
        <f>IF(AND(2&gt;=$D73,2&lt;=$E73),IF($F73="완료","●",IF($F73="진행중","▶",IF($F73="제외",".",IF($F73="보류","◇","■")))),"")</f>
        <v/>
      </c>
      <c r="J73" s="9">
        <f>IF(AND(3&gt;=$D73,3&lt;=$E73),IF($F73="완료","●",IF($F73="진행중","▶",IF($F73="제외",".",IF($F73="보류","◇","■")))),"")</f>
        <v/>
      </c>
      <c r="K73" s="9">
        <f>IF(AND(4&gt;=$D73,4&lt;=$E73),IF($F73="완료","●",IF($F73="진행중","▶",IF($F73="제외",".",IF($F73="보류","◇","■")))),"")</f>
        <v/>
      </c>
      <c r="L73" s="9">
        <f>IF(AND(5&gt;=$D73,5&lt;=$E73),IF($F73="완료","●",IF($F73="진행중","▶",IF($F73="제외",".",IF($F73="보류","◇","■")))),"")</f>
        <v/>
      </c>
      <c r="M73" s="9">
        <f>IF(AND(6&gt;=$D73,6&lt;=$E73),IF($F73="완료","●",IF($F73="진행중","▶",IF($F73="제외",".",IF($F73="보류","◇","■")))),"")</f>
        <v/>
      </c>
      <c r="N73" s="9">
        <f>IF(AND(7&gt;=$D73,7&lt;=$E73),IF($F73="완료","●",IF($F73="진행중","▶",IF($F73="제외",".",IF($F73="보류","◇","■")))),"")</f>
        <v/>
      </c>
      <c r="O73" s="9">
        <f>IF(AND(8&gt;=$D73,8&lt;=$E73),IF($F73="완료","●",IF($F73="진행중","▶",IF($F73="제외",".",IF($F73="보류","◇","■")))),"")</f>
        <v/>
      </c>
      <c r="P73" s="9">
        <f>IF(AND(9&gt;=$D73,9&lt;=$E73),IF($F73="완료","●",IF($F73="진행중","▶",IF($F73="제외",".",IF($F73="보류","◇","■")))),"")</f>
        <v/>
      </c>
      <c r="Q73" s="9">
        <f>IF(AND(10&gt;=$D73,10&lt;=$E73),IF($F73="완료","●",IF($F73="진행중","▶",IF($F73="제외",".",IF($F73="보류","◇","■")))),"")</f>
        <v/>
      </c>
      <c r="R73" s="9">
        <f>IF(AND(11&gt;=$D73,11&lt;=$E73),IF($F73="완료","●",IF($F73="진행중","▶",IF($F73="제외",".",IF($F73="보류","◇","■")))),"")</f>
        <v/>
      </c>
      <c r="S73" s="9">
        <f>IF(AND(12&gt;=$D73,12&lt;=$E73),IF($F73="완료","●",IF($F73="진행중","▶",IF($F73="제외",".",IF($F73="보류","◇","■")))),"")</f>
        <v/>
      </c>
      <c r="T73" s="9">
        <f>IF(AND(13&gt;=$D73,13&lt;=$E73),IF($F73="완료","●",IF($F73="진행중","▶",IF($F73="제외",".",IF($F73="보류","◇","■")))),"")</f>
        <v/>
      </c>
      <c r="U73" s="9">
        <f>IF(AND(14&gt;=$D73,14&lt;=$E73),IF($F73="완료","●",IF($F73="진행중","▶",IF($F73="제외",".",IF($F73="보류","◇","■")))),"")</f>
        <v/>
      </c>
      <c r="V73" s="9">
        <f>IF(AND(15&gt;=$D73,15&lt;=$E73),IF($F73="완료","●",IF($F73="진행중","▶",IF($F73="제외",".",IF($F73="보류","◇","■")))),"")</f>
        <v/>
      </c>
    </row>
    <row r="74" outlineLevel="2" ht="18" customHeight="1">
      <c r="A74" s="9">
        <f>WBS!A74</f>
        <v/>
      </c>
      <c r="B74" s="21">
        <f>WBS!C74</f>
        <v/>
      </c>
      <c r="C74" s="9">
        <f>WBS!K74</f>
        <v/>
      </c>
      <c r="D74" s="9">
        <f>WBS!G74</f>
        <v/>
      </c>
      <c r="E74" s="9">
        <f>WBS!H74</f>
        <v/>
      </c>
      <c r="F74" s="9">
        <f>WBS!O74</f>
        <v/>
      </c>
      <c r="G74" s="14">
        <f>WBS!P74</f>
        <v/>
      </c>
      <c r="H74" s="9">
        <f>IF(AND(1&gt;=$D74,1&lt;=$E74),IF($F74="완료","●",IF($F74="진행중","▶",IF($F74="제외",".",IF($F74="보류","◇","■")))),"")</f>
        <v/>
      </c>
      <c r="I74" s="9">
        <f>IF(AND(2&gt;=$D74,2&lt;=$E74),IF($F74="완료","●",IF($F74="진행중","▶",IF($F74="제외",".",IF($F74="보류","◇","■")))),"")</f>
        <v/>
      </c>
      <c r="J74" s="9">
        <f>IF(AND(3&gt;=$D74,3&lt;=$E74),IF($F74="완료","●",IF($F74="진행중","▶",IF($F74="제외",".",IF($F74="보류","◇","■")))),"")</f>
        <v/>
      </c>
      <c r="K74" s="9">
        <f>IF(AND(4&gt;=$D74,4&lt;=$E74),IF($F74="완료","●",IF($F74="진행중","▶",IF($F74="제외",".",IF($F74="보류","◇","■")))),"")</f>
        <v/>
      </c>
      <c r="L74" s="9">
        <f>IF(AND(5&gt;=$D74,5&lt;=$E74),IF($F74="완료","●",IF($F74="진행중","▶",IF($F74="제외",".",IF($F74="보류","◇","■")))),"")</f>
        <v/>
      </c>
      <c r="M74" s="9">
        <f>IF(AND(6&gt;=$D74,6&lt;=$E74),IF($F74="완료","●",IF($F74="진행중","▶",IF($F74="제외",".",IF($F74="보류","◇","■")))),"")</f>
        <v/>
      </c>
      <c r="N74" s="9">
        <f>IF(AND(7&gt;=$D74,7&lt;=$E74),IF($F74="완료","●",IF($F74="진행중","▶",IF($F74="제외",".",IF($F74="보류","◇","■")))),"")</f>
        <v/>
      </c>
      <c r="O74" s="9">
        <f>IF(AND(8&gt;=$D74,8&lt;=$E74),IF($F74="완료","●",IF($F74="진행중","▶",IF($F74="제외",".",IF($F74="보류","◇","■")))),"")</f>
        <v/>
      </c>
      <c r="P74" s="9">
        <f>IF(AND(9&gt;=$D74,9&lt;=$E74),IF($F74="완료","●",IF($F74="진행중","▶",IF($F74="제외",".",IF($F74="보류","◇","■")))),"")</f>
        <v/>
      </c>
      <c r="Q74" s="9">
        <f>IF(AND(10&gt;=$D74,10&lt;=$E74),IF($F74="완료","●",IF($F74="진행중","▶",IF($F74="제외",".",IF($F74="보류","◇","■")))),"")</f>
        <v/>
      </c>
      <c r="R74" s="9">
        <f>IF(AND(11&gt;=$D74,11&lt;=$E74),IF($F74="완료","●",IF($F74="진행중","▶",IF($F74="제외",".",IF($F74="보류","◇","■")))),"")</f>
        <v/>
      </c>
      <c r="S74" s="9">
        <f>IF(AND(12&gt;=$D74,12&lt;=$E74),IF($F74="완료","●",IF($F74="진행중","▶",IF($F74="제외",".",IF($F74="보류","◇","■")))),"")</f>
        <v/>
      </c>
      <c r="T74" s="9">
        <f>IF(AND(13&gt;=$D74,13&lt;=$E74),IF($F74="완료","●",IF($F74="진행중","▶",IF($F74="제외",".",IF($F74="보류","◇","■")))),"")</f>
        <v/>
      </c>
      <c r="U74" s="9">
        <f>IF(AND(14&gt;=$D74,14&lt;=$E74),IF($F74="완료","●",IF($F74="진행중","▶",IF($F74="제외",".",IF($F74="보류","◇","■")))),"")</f>
        <v/>
      </c>
      <c r="V74" s="9">
        <f>IF(AND(15&gt;=$D74,15&lt;=$E74),IF($F74="완료","●",IF($F74="진행중","▶",IF($F74="제외",".",IF($F74="보류","◇","■")))),"")</f>
        <v/>
      </c>
    </row>
    <row r="75" outlineLevel="2" ht="18" customHeight="1">
      <c r="A75" s="9">
        <f>WBS!A75</f>
        <v/>
      </c>
      <c r="B75" s="21">
        <f>WBS!C75</f>
        <v/>
      </c>
      <c r="C75" s="9">
        <f>WBS!K75</f>
        <v/>
      </c>
      <c r="D75" s="9">
        <f>WBS!G75</f>
        <v/>
      </c>
      <c r="E75" s="9">
        <f>WBS!H75</f>
        <v/>
      </c>
      <c r="F75" s="9">
        <f>WBS!O75</f>
        <v/>
      </c>
      <c r="G75" s="14">
        <f>WBS!P75</f>
        <v/>
      </c>
      <c r="H75" s="9">
        <f>IF(AND(1&gt;=$D75,1&lt;=$E75),IF($F75="완료","●",IF($F75="진행중","▶",IF($F75="제외",".",IF($F75="보류","◇","■")))),"")</f>
        <v/>
      </c>
      <c r="I75" s="9">
        <f>IF(AND(2&gt;=$D75,2&lt;=$E75),IF($F75="완료","●",IF($F75="진행중","▶",IF($F75="제외",".",IF($F75="보류","◇","■")))),"")</f>
        <v/>
      </c>
      <c r="J75" s="9">
        <f>IF(AND(3&gt;=$D75,3&lt;=$E75),IF($F75="완료","●",IF($F75="진행중","▶",IF($F75="제외",".",IF($F75="보류","◇","■")))),"")</f>
        <v/>
      </c>
      <c r="K75" s="9">
        <f>IF(AND(4&gt;=$D75,4&lt;=$E75),IF($F75="완료","●",IF($F75="진행중","▶",IF($F75="제외",".",IF($F75="보류","◇","■")))),"")</f>
        <v/>
      </c>
      <c r="L75" s="9">
        <f>IF(AND(5&gt;=$D75,5&lt;=$E75),IF($F75="완료","●",IF($F75="진행중","▶",IF($F75="제외",".",IF($F75="보류","◇","■")))),"")</f>
        <v/>
      </c>
      <c r="M75" s="9">
        <f>IF(AND(6&gt;=$D75,6&lt;=$E75),IF($F75="완료","●",IF($F75="진행중","▶",IF($F75="제외",".",IF($F75="보류","◇","■")))),"")</f>
        <v/>
      </c>
      <c r="N75" s="9">
        <f>IF(AND(7&gt;=$D75,7&lt;=$E75),IF($F75="완료","●",IF($F75="진행중","▶",IF($F75="제외",".",IF($F75="보류","◇","■")))),"")</f>
        <v/>
      </c>
      <c r="O75" s="9">
        <f>IF(AND(8&gt;=$D75,8&lt;=$E75),IF($F75="완료","●",IF($F75="진행중","▶",IF($F75="제외",".",IF($F75="보류","◇","■")))),"")</f>
        <v/>
      </c>
      <c r="P75" s="9">
        <f>IF(AND(9&gt;=$D75,9&lt;=$E75),IF($F75="완료","●",IF($F75="진행중","▶",IF($F75="제외",".",IF($F75="보류","◇","■")))),"")</f>
        <v/>
      </c>
      <c r="Q75" s="9">
        <f>IF(AND(10&gt;=$D75,10&lt;=$E75),IF($F75="완료","●",IF($F75="진행중","▶",IF($F75="제외",".",IF($F75="보류","◇","■")))),"")</f>
        <v/>
      </c>
      <c r="R75" s="9">
        <f>IF(AND(11&gt;=$D75,11&lt;=$E75),IF($F75="완료","●",IF($F75="진행중","▶",IF($F75="제외",".",IF($F75="보류","◇","■")))),"")</f>
        <v/>
      </c>
      <c r="S75" s="9">
        <f>IF(AND(12&gt;=$D75,12&lt;=$E75),IF($F75="완료","●",IF($F75="진행중","▶",IF($F75="제외",".",IF($F75="보류","◇","■")))),"")</f>
        <v/>
      </c>
      <c r="T75" s="9">
        <f>IF(AND(13&gt;=$D75,13&lt;=$E75),IF($F75="완료","●",IF($F75="진행중","▶",IF($F75="제외",".",IF($F75="보류","◇","■")))),"")</f>
        <v/>
      </c>
      <c r="U75" s="9">
        <f>IF(AND(14&gt;=$D75,14&lt;=$E75),IF($F75="완료","●",IF($F75="진행중","▶",IF($F75="제외",".",IF($F75="보류","◇","■")))),"")</f>
        <v/>
      </c>
      <c r="V75" s="9">
        <f>IF(AND(15&gt;=$D75,15&lt;=$E75),IF($F75="완료","●",IF($F75="진행중","▶",IF($F75="제외",".",IF($F75="보류","◇","■")))),"")</f>
        <v/>
      </c>
    </row>
    <row r="76" ht="18" customHeight="1">
      <c r="A76" s="32">
        <f>WBS!A76</f>
        <v/>
      </c>
      <c r="B76" s="33">
        <f>WBS!C76</f>
        <v/>
      </c>
      <c r="C76" s="32">
        <f>WBS!K76</f>
        <v/>
      </c>
      <c r="D76" s="32">
        <f>WBS!G76</f>
        <v/>
      </c>
      <c r="E76" s="32">
        <f>WBS!H76</f>
        <v/>
      </c>
      <c r="F76" s="32">
        <f>WBS!O76</f>
        <v/>
      </c>
      <c r="G76" s="34">
        <f>WBS!P76</f>
        <v/>
      </c>
      <c r="H76" s="9">
        <f>IF(AND(1&gt;=$D76,1&lt;=$E76),IF($F76="완료","●",IF($F76="진행중","▶",IF($F76="제외",".",IF($F76="보류","◇","■")))),"")</f>
        <v/>
      </c>
      <c r="I76" s="9">
        <f>IF(AND(2&gt;=$D76,2&lt;=$E76),IF($F76="완료","●",IF($F76="진행중","▶",IF($F76="제외",".",IF($F76="보류","◇","■")))),"")</f>
        <v/>
      </c>
      <c r="J76" s="9">
        <f>IF(AND(3&gt;=$D76,3&lt;=$E76),IF($F76="완료","●",IF($F76="진행중","▶",IF($F76="제외",".",IF($F76="보류","◇","■")))),"")</f>
        <v/>
      </c>
      <c r="K76" s="9">
        <f>IF(AND(4&gt;=$D76,4&lt;=$E76),IF($F76="완료","●",IF($F76="진행중","▶",IF($F76="제외",".",IF($F76="보류","◇","■")))),"")</f>
        <v/>
      </c>
      <c r="L76" s="9">
        <f>IF(AND(5&gt;=$D76,5&lt;=$E76),IF($F76="완료","●",IF($F76="진행중","▶",IF($F76="제외",".",IF($F76="보류","◇","■")))),"")</f>
        <v/>
      </c>
      <c r="M76" s="9">
        <f>IF(AND(6&gt;=$D76,6&lt;=$E76),IF($F76="완료","●",IF($F76="진행중","▶",IF($F76="제외",".",IF($F76="보류","◇","■")))),"")</f>
        <v/>
      </c>
      <c r="N76" s="9">
        <f>IF(AND(7&gt;=$D76,7&lt;=$E76),IF($F76="완료","●",IF($F76="진행중","▶",IF($F76="제외",".",IF($F76="보류","◇","■")))),"")</f>
        <v/>
      </c>
      <c r="O76" s="9">
        <f>IF(AND(8&gt;=$D76,8&lt;=$E76),IF($F76="완료","●",IF($F76="진행중","▶",IF($F76="제외",".",IF($F76="보류","◇","■")))),"")</f>
        <v/>
      </c>
      <c r="P76" s="9">
        <f>IF(AND(9&gt;=$D76,9&lt;=$E76),IF($F76="완료","●",IF($F76="진행중","▶",IF($F76="제외",".",IF($F76="보류","◇","■")))),"")</f>
        <v/>
      </c>
      <c r="Q76" s="9">
        <f>IF(AND(10&gt;=$D76,10&lt;=$E76),IF($F76="완료","●",IF($F76="진행중","▶",IF($F76="제외",".",IF($F76="보류","◇","■")))),"")</f>
        <v/>
      </c>
      <c r="R76" s="9">
        <f>IF(AND(11&gt;=$D76,11&lt;=$E76),IF($F76="완료","●",IF($F76="진행중","▶",IF($F76="제외",".",IF($F76="보류","◇","■")))),"")</f>
        <v/>
      </c>
      <c r="S76" s="9">
        <f>IF(AND(12&gt;=$D76,12&lt;=$E76),IF($F76="완료","●",IF($F76="진행중","▶",IF($F76="제외",".",IF($F76="보류","◇","■")))),"")</f>
        <v/>
      </c>
      <c r="T76" s="9">
        <f>IF(AND(13&gt;=$D76,13&lt;=$E76),IF($F76="완료","●",IF($F76="진행중","▶",IF($F76="제외",".",IF($F76="보류","◇","■")))),"")</f>
        <v/>
      </c>
      <c r="U76" s="9">
        <f>IF(AND(14&gt;=$D76,14&lt;=$E76),IF($F76="완료","●",IF($F76="진행중","▶",IF($F76="제외",".",IF($F76="보류","◇","■")))),"")</f>
        <v/>
      </c>
      <c r="V76" s="9">
        <f>IF(AND(15&gt;=$D76,15&lt;=$E76),IF($F76="완료","●",IF($F76="진행중","▶",IF($F76="제외",".",IF($F76="보류","◇","■")))),"")</f>
        <v/>
      </c>
    </row>
    <row r="77" outlineLevel="1" ht="18" customHeight="1">
      <c r="A77" s="9">
        <f>WBS!A77</f>
        <v/>
      </c>
      <c r="B77" s="10">
        <f>WBS!C77</f>
        <v/>
      </c>
      <c r="C77" s="9">
        <f>WBS!K77</f>
        <v/>
      </c>
      <c r="D77" s="9">
        <f>WBS!G77</f>
        <v/>
      </c>
      <c r="E77" s="9">
        <f>WBS!H77</f>
        <v/>
      </c>
      <c r="F77" s="9">
        <f>WBS!O77</f>
        <v/>
      </c>
      <c r="G77" s="14">
        <f>WBS!P77</f>
        <v/>
      </c>
      <c r="H77" s="9">
        <f>IF(AND(1&gt;=$D77,1&lt;=$E77),IF($F77="완료","●",IF($F77="진행중","▶",IF($F77="제외",".",IF($F77="보류","◇","■")))),"")</f>
        <v/>
      </c>
      <c r="I77" s="9">
        <f>IF(AND(2&gt;=$D77,2&lt;=$E77),IF($F77="완료","●",IF($F77="진행중","▶",IF($F77="제외",".",IF($F77="보류","◇","■")))),"")</f>
        <v/>
      </c>
      <c r="J77" s="9">
        <f>IF(AND(3&gt;=$D77,3&lt;=$E77),IF($F77="완료","●",IF($F77="진행중","▶",IF($F77="제외",".",IF($F77="보류","◇","■")))),"")</f>
        <v/>
      </c>
      <c r="K77" s="9">
        <f>IF(AND(4&gt;=$D77,4&lt;=$E77),IF($F77="완료","●",IF($F77="진행중","▶",IF($F77="제외",".",IF($F77="보류","◇","■")))),"")</f>
        <v/>
      </c>
      <c r="L77" s="9">
        <f>IF(AND(5&gt;=$D77,5&lt;=$E77),IF($F77="완료","●",IF($F77="진행중","▶",IF($F77="제외",".",IF($F77="보류","◇","■")))),"")</f>
        <v/>
      </c>
      <c r="M77" s="9">
        <f>IF(AND(6&gt;=$D77,6&lt;=$E77),IF($F77="완료","●",IF($F77="진행중","▶",IF($F77="제외",".",IF($F77="보류","◇","■")))),"")</f>
        <v/>
      </c>
      <c r="N77" s="9">
        <f>IF(AND(7&gt;=$D77,7&lt;=$E77),IF($F77="완료","●",IF($F77="진행중","▶",IF($F77="제외",".",IF($F77="보류","◇","■")))),"")</f>
        <v/>
      </c>
      <c r="O77" s="9">
        <f>IF(AND(8&gt;=$D77,8&lt;=$E77),IF($F77="완료","●",IF($F77="진행중","▶",IF($F77="제외",".",IF($F77="보류","◇","■")))),"")</f>
        <v/>
      </c>
      <c r="P77" s="9">
        <f>IF(AND(9&gt;=$D77,9&lt;=$E77),IF($F77="완료","●",IF($F77="진행중","▶",IF($F77="제외",".",IF($F77="보류","◇","■")))),"")</f>
        <v/>
      </c>
      <c r="Q77" s="9">
        <f>IF(AND(10&gt;=$D77,10&lt;=$E77),IF($F77="완료","●",IF($F77="진행중","▶",IF($F77="제외",".",IF($F77="보류","◇","■")))),"")</f>
        <v/>
      </c>
      <c r="R77" s="9">
        <f>IF(AND(11&gt;=$D77,11&lt;=$E77),IF($F77="완료","●",IF($F77="진행중","▶",IF($F77="제외",".",IF($F77="보류","◇","■")))),"")</f>
        <v/>
      </c>
      <c r="S77" s="9">
        <f>IF(AND(12&gt;=$D77,12&lt;=$E77),IF($F77="완료","●",IF($F77="진행중","▶",IF($F77="제외",".",IF($F77="보류","◇","■")))),"")</f>
        <v/>
      </c>
      <c r="T77" s="9">
        <f>IF(AND(13&gt;=$D77,13&lt;=$E77),IF($F77="완료","●",IF($F77="진행중","▶",IF($F77="제외",".",IF($F77="보류","◇","■")))),"")</f>
        <v/>
      </c>
      <c r="U77" s="9">
        <f>IF(AND(14&gt;=$D77,14&lt;=$E77),IF($F77="완료","●",IF($F77="진행중","▶",IF($F77="제외",".",IF($F77="보류","◇","■")))),"")</f>
        <v/>
      </c>
      <c r="V77" s="9">
        <f>IF(AND(15&gt;=$D77,15&lt;=$E77),IF($F77="완료","●",IF($F77="진행중","▶",IF($F77="제외",".",IF($F77="보류","◇","■")))),"")</f>
        <v/>
      </c>
    </row>
    <row r="78" outlineLevel="1" ht="18" customHeight="1">
      <c r="A78" s="9">
        <f>WBS!A78</f>
        <v/>
      </c>
      <c r="B78" s="10">
        <f>WBS!C78</f>
        <v/>
      </c>
      <c r="C78" s="9">
        <f>WBS!K78</f>
        <v/>
      </c>
      <c r="D78" s="9">
        <f>WBS!G78</f>
        <v/>
      </c>
      <c r="E78" s="9">
        <f>WBS!H78</f>
        <v/>
      </c>
      <c r="F78" s="9">
        <f>WBS!O78</f>
        <v/>
      </c>
      <c r="G78" s="14">
        <f>WBS!P78</f>
        <v/>
      </c>
      <c r="H78" s="9">
        <f>IF(AND(1&gt;=$D78,1&lt;=$E78),IF($F78="완료","●",IF($F78="진행중","▶",IF($F78="제외",".",IF($F78="보류","◇","■")))),"")</f>
        <v/>
      </c>
      <c r="I78" s="9">
        <f>IF(AND(2&gt;=$D78,2&lt;=$E78),IF($F78="완료","●",IF($F78="진행중","▶",IF($F78="제외",".",IF($F78="보류","◇","■")))),"")</f>
        <v/>
      </c>
      <c r="J78" s="9">
        <f>IF(AND(3&gt;=$D78,3&lt;=$E78),IF($F78="완료","●",IF($F78="진행중","▶",IF($F78="제외",".",IF($F78="보류","◇","■")))),"")</f>
        <v/>
      </c>
      <c r="K78" s="9">
        <f>IF(AND(4&gt;=$D78,4&lt;=$E78),IF($F78="완료","●",IF($F78="진행중","▶",IF($F78="제외",".",IF($F78="보류","◇","■")))),"")</f>
        <v/>
      </c>
      <c r="L78" s="9">
        <f>IF(AND(5&gt;=$D78,5&lt;=$E78),IF($F78="완료","●",IF($F78="진행중","▶",IF($F78="제외",".",IF($F78="보류","◇","■")))),"")</f>
        <v/>
      </c>
      <c r="M78" s="9">
        <f>IF(AND(6&gt;=$D78,6&lt;=$E78),IF($F78="완료","●",IF($F78="진행중","▶",IF($F78="제외",".",IF($F78="보류","◇","■")))),"")</f>
        <v/>
      </c>
      <c r="N78" s="9">
        <f>IF(AND(7&gt;=$D78,7&lt;=$E78),IF($F78="완료","●",IF($F78="진행중","▶",IF($F78="제외",".",IF($F78="보류","◇","■")))),"")</f>
        <v/>
      </c>
      <c r="O78" s="9">
        <f>IF(AND(8&gt;=$D78,8&lt;=$E78),IF($F78="완료","●",IF($F78="진행중","▶",IF($F78="제외",".",IF($F78="보류","◇","■")))),"")</f>
        <v/>
      </c>
      <c r="P78" s="9">
        <f>IF(AND(9&gt;=$D78,9&lt;=$E78),IF($F78="완료","●",IF($F78="진행중","▶",IF($F78="제외",".",IF($F78="보류","◇","■")))),"")</f>
        <v/>
      </c>
      <c r="Q78" s="9">
        <f>IF(AND(10&gt;=$D78,10&lt;=$E78),IF($F78="완료","●",IF($F78="진행중","▶",IF($F78="제외",".",IF($F78="보류","◇","■")))),"")</f>
        <v/>
      </c>
      <c r="R78" s="9">
        <f>IF(AND(11&gt;=$D78,11&lt;=$E78),IF($F78="완료","●",IF($F78="진행중","▶",IF($F78="제외",".",IF($F78="보류","◇","■")))),"")</f>
        <v/>
      </c>
      <c r="S78" s="9">
        <f>IF(AND(12&gt;=$D78,12&lt;=$E78),IF($F78="완료","●",IF($F78="진행중","▶",IF($F78="제외",".",IF($F78="보류","◇","■")))),"")</f>
        <v/>
      </c>
      <c r="T78" s="9">
        <f>IF(AND(13&gt;=$D78,13&lt;=$E78),IF($F78="완료","●",IF($F78="진행중","▶",IF($F78="제외",".",IF($F78="보류","◇","■")))),"")</f>
        <v/>
      </c>
      <c r="U78" s="9">
        <f>IF(AND(14&gt;=$D78,14&lt;=$E78),IF($F78="완료","●",IF($F78="진행중","▶",IF($F78="제외",".",IF($F78="보류","◇","■")))),"")</f>
        <v/>
      </c>
      <c r="V78" s="9">
        <f>IF(AND(15&gt;=$D78,15&lt;=$E78),IF($F78="완료","●",IF($F78="진행중","▶",IF($F78="제외",".",IF($F78="보류","◇","■")))),"")</f>
        <v/>
      </c>
    </row>
    <row r="79" outlineLevel="1" ht="18" customHeight="1">
      <c r="A79" s="9">
        <f>WBS!A79</f>
        <v/>
      </c>
      <c r="B79" s="10">
        <f>WBS!C79</f>
        <v/>
      </c>
      <c r="C79" s="9">
        <f>WBS!K79</f>
        <v/>
      </c>
      <c r="D79" s="9">
        <f>WBS!G79</f>
        <v/>
      </c>
      <c r="E79" s="9">
        <f>WBS!H79</f>
        <v/>
      </c>
      <c r="F79" s="9">
        <f>WBS!O79</f>
        <v/>
      </c>
      <c r="G79" s="14">
        <f>WBS!P79</f>
        <v/>
      </c>
      <c r="H79" s="9">
        <f>IF(AND(1&gt;=$D79,1&lt;=$E79),IF($F79="완료","●",IF($F79="진행중","▶",IF($F79="제외",".",IF($F79="보류","◇","■")))),"")</f>
        <v/>
      </c>
      <c r="I79" s="9">
        <f>IF(AND(2&gt;=$D79,2&lt;=$E79),IF($F79="완료","●",IF($F79="진행중","▶",IF($F79="제외",".",IF($F79="보류","◇","■")))),"")</f>
        <v/>
      </c>
      <c r="J79" s="9">
        <f>IF(AND(3&gt;=$D79,3&lt;=$E79),IF($F79="완료","●",IF($F79="진행중","▶",IF($F79="제외",".",IF($F79="보류","◇","■")))),"")</f>
        <v/>
      </c>
      <c r="K79" s="9">
        <f>IF(AND(4&gt;=$D79,4&lt;=$E79),IF($F79="완료","●",IF($F79="진행중","▶",IF($F79="제외",".",IF($F79="보류","◇","■")))),"")</f>
        <v/>
      </c>
      <c r="L79" s="9">
        <f>IF(AND(5&gt;=$D79,5&lt;=$E79),IF($F79="완료","●",IF($F79="진행중","▶",IF($F79="제외",".",IF($F79="보류","◇","■")))),"")</f>
        <v/>
      </c>
      <c r="M79" s="9">
        <f>IF(AND(6&gt;=$D79,6&lt;=$E79),IF($F79="완료","●",IF($F79="진행중","▶",IF($F79="제외",".",IF($F79="보류","◇","■")))),"")</f>
        <v/>
      </c>
      <c r="N79" s="9">
        <f>IF(AND(7&gt;=$D79,7&lt;=$E79),IF($F79="완료","●",IF($F79="진행중","▶",IF($F79="제외",".",IF($F79="보류","◇","■")))),"")</f>
        <v/>
      </c>
      <c r="O79" s="9">
        <f>IF(AND(8&gt;=$D79,8&lt;=$E79),IF($F79="완료","●",IF($F79="진행중","▶",IF($F79="제외",".",IF($F79="보류","◇","■")))),"")</f>
        <v/>
      </c>
      <c r="P79" s="9">
        <f>IF(AND(9&gt;=$D79,9&lt;=$E79),IF($F79="완료","●",IF($F79="진행중","▶",IF($F79="제외",".",IF($F79="보류","◇","■")))),"")</f>
        <v/>
      </c>
      <c r="Q79" s="9">
        <f>IF(AND(10&gt;=$D79,10&lt;=$E79),IF($F79="완료","●",IF($F79="진행중","▶",IF($F79="제외",".",IF($F79="보류","◇","■")))),"")</f>
        <v/>
      </c>
      <c r="R79" s="9">
        <f>IF(AND(11&gt;=$D79,11&lt;=$E79),IF($F79="완료","●",IF($F79="진행중","▶",IF($F79="제외",".",IF($F79="보류","◇","■")))),"")</f>
        <v/>
      </c>
      <c r="S79" s="9">
        <f>IF(AND(12&gt;=$D79,12&lt;=$E79),IF($F79="완료","●",IF($F79="진행중","▶",IF($F79="제외",".",IF($F79="보류","◇","■")))),"")</f>
        <v/>
      </c>
      <c r="T79" s="9">
        <f>IF(AND(13&gt;=$D79,13&lt;=$E79),IF($F79="완료","●",IF($F79="진행중","▶",IF($F79="제외",".",IF($F79="보류","◇","■")))),"")</f>
        <v/>
      </c>
      <c r="U79" s="9">
        <f>IF(AND(14&gt;=$D79,14&lt;=$E79),IF($F79="완료","●",IF($F79="진행중","▶",IF($F79="제외",".",IF($F79="보류","◇","■")))),"")</f>
        <v/>
      </c>
      <c r="V79" s="9">
        <f>IF(AND(15&gt;=$D79,15&lt;=$E79),IF($F79="완료","●",IF($F79="진행중","▶",IF($F79="제외",".",IF($F79="보류","◇","■")))),"")</f>
        <v/>
      </c>
    </row>
    <row r="80" outlineLevel="1" ht="18" customHeight="1">
      <c r="A80" s="9">
        <f>WBS!A80</f>
        <v/>
      </c>
      <c r="B80" s="10">
        <f>WBS!C80</f>
        <v/>
      </c>
      <c r="C80" s="9">
        <f>WBS!K80</f>
        <v/>
      </c>
      <c r="D80" s="9">
        <f>WBS!G80</f>
        <v/>
      </c>
      <c r="E80" s="9">
        <f>WBS!H80</f>
        <v/>
      </c>
      <c r="F80" s="9">
        <f>WBS!O80</f>
        <v/>
      </c>
      <c r="G80" s="14">
        <f>WBS!P80</f>
        <v/>
      </c>
      <c r="H80" s="9">
        <f>IF(AND(1&gt;=$D80,1&lt;=$E80),IF($F80="완료","●",IF($F80="진행중","▶",IF($F80="제외",".",IF($F80="보류","◇","■")))),"")</f>
        <v/>
      </c>
      <c r="I80" s="9">
        <f>IF(AND(2&gt;=$D80,2&lt;=$E80),IF($F80="완료","●",IF($F80="진행중","▶",IF($F80="제외",".",IF($F80="보류","◇","■")))),"")</f>
        <v/>
      </c>
      <c r="J80" s="9">
        <f>IF(AND(3&gt;=$D80,3&lt;=$E80),IF($F80="완료","●",IF($F80="진행중","▶",IF($F80="제외",".",IF($F80="보류","◇","■")))),"")</f>
        <v/>
      </c>
      <c r="K80" s="9">
        <f>IF(AND(4&gt;=$D80,4&lt;=$E80),IF($F80="완료","●",IF($F80="진행중","▶",IF($F80="제외",".",IF($F80="보류","◇","■")))),"")</f>
        <v/>
      </c>
      <c r="L80" s="9">
        <f>IF(AND(5&gt;=$D80,5&lt;=$E80),IF($F80="완료","●",IF($F80="진행중","▶",IF($F80="제외",".",IF($F80="보류","◇","■")))),"")</f>
        <v/>
      </c>
      <c r="M80" s="9">
        <f>IF(AND(6&gt;=$D80,6&lt;=$E80),IF($F80="완료","●",IF($F80="진행중","▶",IF($F80="제외",".",IF($F80="보류","◇","■")))),"")</f>
        <v/>
      </c>
      <c r="N80" s="9">
        <f>IF(AND(7&gt;=$D80,7&lt;=$E80),IF($F80="완료","●",IF($F80="진행중","▶",IF($F80="제외",".",IF($F80="보류","◇","■")))),"")</f>
        <v/>
      </c>
      <c r="O80" s="9">
        <f>IF(AND(8&gt;=$D80,8&lt;=$E80),IF($F80="완료","●",IF($F80="진행중","▶",IF($F80="제외",".",IF($F80="보류","◇","■")))),"")</f>
        <v/>
      </c>
      <c r="P80" s="9">
        <f>IF(AND(9&gt;=$D80,9&lt;=$E80),IF($F80="완료","●",IF($F80="진행중","▶",IF($F80="제외",".",IF($F80="보류","◇","■")))),"")</f>
        <v/>
      </c>
      <c r="Q80" s="9">
        <f>IF(AND(10&gt;=$D80,10&lt;=$E80),IF($F80="완료","●",IF($F80="진행중","▶",IF($F80="제외",".",IF($F80="보류","◇","■")))),"")</f>
        <v/>
      </c>
      <c r="R80" s="9">
        <f>IF(AND(11&gt;=$D80,11&lt;=$E80),IF($F80="완료","●",IF($F80="진행중","▶",IF($F80="제외",".",IF($F80="보류","◇","■")))),"")</f>
        <v/>
      </c>
      <c r="S80" s="9">
        <f>IF(AND(12&gt;=$D80,12&lt;=$E80),IF($F80="완료","●",IF($F80="진행중","▶",IF($F80="제외",".",IF($F80="보류","◇","■")))),"")</f>
        <v/>
      </c>
      <c r="T80" s="9">
        <f>IF(AND(13&gt;=$D80,13&lt;=$E80),IF($F80="완료","●",IF($F80="진행중","▶",IF($F80="제외",".",IF($F80="보류","◇","■")))),"")</f>
        <v/>
      </c>
      <c r="U80" s="9">
        <f>IF(AND(14&gt;=$D80,14&lt;=$E80),IF($F80="완료","●",IF($F80="진행중","▶",IF($F80="제외",".",IF($F80="보류","◇","■")))),"")</f>
        <v/>
      </c>
      <c r="V80" s="9">
        <f>IF(AND(15&gt;=$D80,15&lt;=$E80),IF($F80="완료","●",IF($F80="진행중","▶",IF($F80="제외",".",IF($F80="보류","◇","■")))),"")</f>
        <v/>
      </c>
    </row>
    <row r="81" outlineLevel="1" ht="18" customHeight="1">
      <c r="A81" s="9">
        <f>WBS!A81</f>
        <v/>
      </c>
      <c r="B81" s="10">
        <f>WBS!C81</f>
        <v/>
      </c>
      <c r="C81" s="9">
        <f>WBS!K81</f>
        <v/>
      </c>
      <c r="D81" s="9">
        <f>WBS!G81</f>
        <v/>
      </c>
      <c r="E81" s="9">
        <f>WBS!H81</f>
        <v/>
      </c>
      <c r="F81" s="9">
        <f>WBS!O81</f>
        <v/>
      </c>
      <c r="G81" s="14">
        <f>WBS!P81</f>
        <v/>
      </c>
      <c r="H81" s="9">
        <f>IF(AND(1&gt;=$D81,1&lt;=$E81),IF($F81="완료","●",IF($F81="진행중","▶",IF($F81="제외",".",IF($F81="보류","◇","■")))),"")</f>
        <v/>
      </c>
      <c r="I81" s="9">
        <f>IF(AND(2&gt;=$D81,2&lt;=$E81),IF($F81="완료","●",IF($F81="진행중","▶",IF($F81="제외",".",IF($F81="보류","◇","■")))),"")</f>
        <v/>
      </c>
      <c r="J81" s="9">
        <f>IF(AND(3&gt;=$D81,3&lt;=$E81),IF($F81="완료","●",IF($F81="진행중","▶",IF($F81="제외",".",IF($F81="보류","◇","■")))),"")</f>
        <v/>
      </c>
      <c r="K81" s="9">
        <f>IF(AND(4&gt;=$D81,4&lt;=$E81),IF($F81="완료","●",IF($F81="진행중","▶",IF($F81="제외",".",IF($F81="보류","◇","■")))),"")</f>
        <v/>
      </c>
      <c r="L81" s="9">
        <f>IF(AND(5&gt;=$D81,5&lt;=$E81),IF($F81="완료","●",IF($F81="진행중","▶",IF($F81="제외",".",IF($F81="보류","◇","■")))),"")</f>
        <v/>
      </c>
      <c r="M81" s="9">
        <f>IF(AND(6&gt;=$D81,6&lt;=$E81),IF($F81="완료","●",IF($F81="진행중","▶",IF($F81="제외",".",IF($F81="보류","◇","■")))),"")</f>
        <v/>
      </c>
      <c r="N81" s="9">
        <f>IF(AND(7&gt;=$D81,7&lt;=$E81),IF($F81="완료","●",IF($F81="진행중","▶",IF($F81="제외",".",IF($F81="보류","◇","■")))),"")</f>
        <v/>
      </c>
      <c r="O81" s="9">
        <f>IF(AND(8&gt;=$D81,8&lt;=$E81),IF($F81="완료","●",IF($F81="진행중","▶",IF($F81="제외",".",IF($F81="보류","◇","■")))),"")</f>
        <v/>
      </c>
      <c r="P81" s="9">
        <f>IF(AND(9&gt;=$D81,9&lt;=$E81),IF($F81="완료","●",IF($F81="진행중","▶",IF($F81="제외",".",IF($F81="보류","◇","■")))),"")</f>
        <v/>
      </c>
      <c r="Q81" s="9">
        <f>IF(AND(10&gt;=$D81,10&lt;=$E81),IF($F81="완료","●",IF($F81="진행중","▶",IF($F81="제외",".",IF($F81="보류","◇","■")))),"")</f>
        <v/>
      </c>
      <c r="R81" s="9">
        <f>IF(AND(11&gt;=$D81,11&lt;=$E81),IF($F81="완료","●",IF($F81="진행중","▶",IF($F81="제외",".",IF($F81="보류","◇","■")))),"")</f>
        <v/>
      </c>
      <c r="S81" s="9">
        <f>IF(AND(12&gt;=$D81,12&lt;=$E81),IF($F81="완료","●",IF($F81="진행중","▶",IF($F81="제외",".",IF($F81="보류","◇","■")))),"")</f>
        <v/>
      </c>
      <c r="T81" s="9">
        <f>IF(AND(13&gt;=$D81,13&lt;=$E81),IF($F81="완료","●",IF($F81="진행중","▶",IF($F81="제외",".",IF($F81="보류","◇","■")))),"")</f>
        <v/>
      </c>
      <c r="U81" s="9">
        <f>IF(AND(14&gt;=$D81,14&lt;=$E81),IF($F81="완료","●",IF($F81="진행중","▶",IF($F81="제외",".",IF($F81="보류","◇","■")))),"")</f>
        <v/>
      </c>
      <c r="V81" s="9">
        <f>IF(AND(15&gt;=$D81,15&lt;=$E81),IF($F81="완료","●",IF($F81="진행중","▶",IF($F81="제외",".",IF($F81="보류","◇","■")))),"")</f>
        <v/>
      </c>
    </row>
    <row r="82" outlineLevel="1" ht="18" customHeight="1">
      <c r="A82" s="9">
        <f>WBS!A82</f>
        <v/>
      </c>
      <c r="B82" s="10">
        <f>WBS!C82</f>
        <v/>
      </c>
      <c r="C82" s="9">
        <f>WBS!K82</f>
        <v/>
      </c>
      <c r="D82" s="9">
        <f>WBS!G82</f>
        <v/>
      </c>
      <c r="E82" s="9">
        <f>WBS!H82</f>
        <v/>
      </c>
      <c r="F82" s="9">
        <f>WBS!O82</f>
        <v/>
      </c>
      <c r="G82" s="14">
        <f>WBS!P82</f>
        <v/>
      </c>
      <c r="H82" s="9">
        <f>IF(AND(1&gt;=$D82,1&lt;=$E82),IF($F82="완료","●",IF($F82="진행중","▶",IF($F82="제외",".",IF($F82="보류","◇","■")))),"")</f>
        <v/>
      </c>
      <c r="I82" s="9">
        <f>IF(AND(2&gt;=$D82,2&lt;=$E82),IF($F82="완료","●",IF($F82="진행중","▶",IF($F82="제외",".",IF($F82="보류","◇","■")))),"")</f>
        <v/>
      </c>
      <c r="J82" s="9">
        <f>IF(AND(3&gt;=$D82,3&lt;=$E82),IF($F82="완료","●",IF($F82="진행중","▶",IF($F82="제외",".",IF($F82="보류","◇","■")))),"")</f>
        <v/>
      </c>
      <c r="K82" s="9">
        <f>IF(AND(4&gt;=$D82,4&lt;=$E82),IF($F82="완료","●",IF($F82="진행중","▶",IF($F82="제외",".",IF($F82="보류","◇","■")))),"")</f>
        <v/>
      </c>
      <c r="L82" s="9">
        <f>IF(AND(5&gt;=$D82,5&lt;=$E82),IF($F82="완료","●",IF($F82="진행중","▶",IF($F82="제외",".",IF($F82="보류","◇","■")))),"")</f>
        <v/>
      </c>
      <c r="M82" s="9">
        <f>IF(AND(6&gt;=$D82,6&lt;=$E82),IF($F82="완료","●",IF($F82="진행중","▶",IF($F82="제외",".",IF($F82="보류","◇","■")))),"")</f>
        <v/>
      </c>
      <c r="N82" s="9">
        <f>IF(AND(7&gt;=$D82,7&lt;=$E82),IF($F82="완료","●",IF($F82="진행중","▶",IF($F82="제외",".",IF($F82="보류","◇","■")))),"")</f>
        <v/>
      </c>
      <c r="O82" s="9">
        <f>IF(AND(8&gt;=$D82,8&lt;=$E82),IF($F82="완료","●",IF($F82="진행중","▶",IF($F82="제외",".",IF($F82="보류","◇","■")))),"")</f>
        <v/>
      </c>
      <c r="P82" s="9">
        <f>IF(AND(9&gt;=$D82,9&lt;=$E82),IF($F82="완료","●",IF($F82="진행중","▶",IF($F82="제외",".",IF($F82="보류","◇","■")))),"")</f>
        <v/>
      </c>
      <c r="Q82" s="9">
        <f>IF(AND(10&gt;=$D82,10&lt;=$E82),IF($F82="완료","●",IF($F82="진행중","▶",IF($F82="제외",".",IF($F82="보류","◇","■")))),"")</f>
        <v/>
      </c>
      <c r="R82" s="9">
        <f>IF(AND(11&gt;=$D82,11&lt;=$E82),IF($F82="완료","●",IF($F82="진행중","▶",IF($F82="제외",".",IF($F82="보류","◇","■")))),"")</f>
        <v/>
      </c>
      <c r="S82" s="9">
        <f>IF(AND(12&gt;=$D82,12&lt;=$E82),IF($F82="완료","●",IF($F82="진행중","▶",IF($F82="제외",".",IF($F82="보류","◇","■")))),"")</f>
        <v/>
      </c>
      <c r="T82" s="9">
        <f>IF(AND(13&gt;=$D82,13&lt;=$E82),IF($F82="완료","●",IF($F82="진행중","▶",IF($F82="제외",".",IF($F82="보류","◇","■")))),"")</f>
        <v/>
      </c>
      <c r="U82" s="9">
        <f>IF(AND(14&gt;=$D82,14&lt;=$E82),IF($F82="완료","●",IF($F82="진행중","▶",IF($F82="제외",".",IF($F82="보류","◇","■")))),"")</f>
        <v/>
      </c>
      <c r="V82" s="9">
        <f>IF(AND(15&gt;=$D82,15&lt;=$E82),IF($F82="완료","●",IF($F82="진행중","▶",IF($F82="제외",".",IF($F82="보류","◇","■")))),"")</f>
        <v/>
      </c>
    </row>
    <row r="83" outlineLevel="1" ht="18" customHeight="1">
      <c r="A83" s="9">
        <f>WBS!A83</f>
        <v/>
      </c>
      <c r="B83" s="10">
        <f>WBS!C83</f>
        <v/>
      </c>
      <c r="C83" s="9">
        <f>WBS!K83</f>
        <v/>
      </c>
      <c r="D83" s="9">
        <f>WBS!G83</f>
        <v/>
      </c>
      <c r="E83" s="9">
        <f>WBS!H83</f>
        <v/>
      </c>
      <c r="F83" s="9">
        <f>WBS!O83</f>
        <v/>
      </c>
      <c r="G83" s="14">
        <f>WBS!P83</f>
        <v/>
      </c>
      <c r="H83" s="9">
        <f>IF(AND(1&gt;=$D83,1&lt;=$E83),IF($F83="완료","●",IF($F83="진행중","▶",IF($F83="제외",".",IF($F83="보류","◇","■")))),"")</f>
        <v/>
      </c>
      <c r="I83" s="9">
        <f>IF(AND(2&gt;=$D83,2&lt;=$E83),IF($F83="완료","●",IF($F83="진행중","▶",IF($F83="제외",".",IF($F83="보류","◇","■")))),"")</f>
        <v/>
      </c>
      <c r="J83" s="9">
        <f>IF(AND(3&gt;=$D83,3&lt;=$E83),IF($F83="완료","●",IF($F83="진행중","▶",IF($F83="제외",".",IF($F83="보류","◇","■")))),"")</f>
        <v/>
      </c>
      <c r="K83" s="9">
        <f>IF(AND(4&gt;=$D83,4&lt;=$E83),IF($F83="완료","●",IF($F83="진행중","▶",IF($F83="제외",".",IF($F83="보류","◇","■")))),"")</f>
        <v/>
      </c>
      <c r="L83" s="9">
        <f>IF(AND(5&gt;=$D83,5&lt;=$E83),IF($F83="완료","●",IF($F83="진행중","▶",IF($F83="제외",".",IF($F83="보류","◇","■")))),"")</f>
        <v/>
      </c>
      <c r="M83" s="9">
        <f>IF(AND(6&gt;=$D83,6&lt;=$E83),IF($F83="완료","●",IF($F83="진행중","▶",IF($F83="제외",".",IF($F83="보류","◇","■")))),"")</f>
        <v/>
      </c>
      <c r="N83" s="9">
        <f>IF(AND(7&gt;=$D83,7&lt;=$E83),IF($F83="완료","●",IF($F83="진행중","▶",IF($F83="제외",".",IF($F83="보류","◇","■")))),"")</f>
        <v/>
      </c>
      <c r="O83" s="9">
        <f>IF(AND(8&gt;=$D83,8&lt;=$E83),IF($F83="완료","●",IF($F83="진행중","▶",IF($F83="제외",".",IF($F83="보류","◇","■")))),"")</f>
        <v/>
      </c>
      <c r="P83" s="9">
        <f>IF(AND(9&gt;=$D83,9&lt;=$E83),IF($F83="완료","●",IF($F83="진행중","▶",IF($F83="제외",".",IF($F83="보류","◇","■")))),"")</f>
        <v/>
      </c>
      <c r="Q83" s="9">
        <f>IF(AND(10&gt;=$D83,10&lt;=$E83),IF($F83="완료","●",IF($F83="진행중","▶",IF($F83="제외",".",IF($F83="보류","◇","■")))),"")</f>
        <v/>
      </c>
      <c r="R83" s="9">
        <f>IF(AND(11&gt;=$D83,11&lt;=$E83),IF($F83="완료","●",IF($F83="진행중","▶",IF($F83="제외",".",IF($F83="보류","◇","■")))),"")</f>
        <v/>
      </c>
      <c r="S83" s="9">
        <f>IF(AND(12&gt;=$D83,12&lt;=$E83),IF($F83="완료","●",IF($F83="진행중","▶",IF($F83="제외",".",IF($F83="보류","◇","■")))),"")</f>
        <v/>
      </c>
      <c r="T83" s="9">
        <f>IF(AND(13&gt;=$D83,13&lt;=$E83),IF($F83="완료","●",IF($F83="진행중","▶",IF($F83="제외",".",IF($F83="보류","◇","■")))),"")</f>
        <v/>
      </c>
      <c r="U83" s="9">
        <f>IF(AND(14&gt;=$D83,14&lt;=$E83),IF($F83="완료","●",IF($F83="진행중","▶",IF($F83="제외",".",IF($F83="보류","◇","■")))),"")</f>
        <v/>
      </c>
      <c r="V83" s="9">
        <f>IF(AND(15&gt;=$D83,15&lt;=$E83),IF($F83="완료","●",IF($F83="진행중","▶",IF($F83="제외",".",IF($F83="보류","◇","■")))),"")</f>
        <v/>
      </c>
    </row>
    <row r="84" ht="18" customHeight="1">
      <c r="A84" s="32">
        <f>WBS!A84</f>
        <v/>
      </c>
      <c r="B84" s="33">
        <f>WBS!C84</f>
        <v/>
      </c>
      <c r="C84" s="32">
        <f>WBS!K84</f>
        <v/>
      </c>
      <c r="D84" s="32">
        <f>WBS!G84</f>
        <v/>
      </c>
      <c r="E84" s="32">
        <f>WBS!H84</f>
        <v/>
      </c>
      <c r="F84" s="32">
        <f>WBS!O84</f>
        <v/>
      </c>
      <c r="G84" s="34">
        <f>WBS!P84</f>
        <v/>
      </c>
      <c r="H84" s="9">
        <f>IF(AND(1&gt;=$D84,1&lt;=$E84),IF($F84="완료","●",IF($F84="진행중","▶",IF($F84="제외",".",IF($F84="보류","◇","■")))),"")</f>
        <v/>
      </c>
      <c r="I84" s="9">
        <f>IF(AND(2&gt;=$D84,2&lt;=$E84),IF($F84="완료","●",IF($F84="진행중","▶",IF($F84="제외",".",IF($F84="보류","◇","■")))),"")</f>
        <v/>
      </c>
      <c r="J84" s="9">
        <f>IF(AND(3&gt;=$D84,3&lt;=$E84),IF($F84="완료","●",IF($F84="진행중","▶",IF($F84="제외",".",IF($F84="보류","◇","■")))),"")</f>
        <v/>
      </c>
      <c r="K84" s="9">
        <f>IF(AND(4&gt;=$D84,4&lt;=$E84),IF($F84="완료","●",IF($F84="진행중","▶",IF($F84="제외",".",IF($F84="보류","◇","■")))),"")</f>
        <v/>
      </c>
      <c r="L84" s="9">
        <f>IF(AND(5&gt;=$D84,5&lt;=$E84),IF($F84="완료","●",IF($F84="진행중","▶",IF($F84="제외",".",IF($F84="보류","◇","■")))),"")</f>
        <v/>
      </c>
      <c r="M84" s="9">
        <f>IF(AND(6&gt;=$D84,6&lt;=$E84),IF($F84="완료","●",IF($F84="진행중","▶",IF($F84="제외",".",IF($F84="보류","◇","■")))),"")</f>
        <v/>
      </c>
      <c r="N84" s="9">
        <f>IF(AND(7&gt;=$D84,7&lt;=$E84),IF($F84="완료","●",IF($F84="진행중","▶",IF($F84="제외",".",IF($F84="보류","◇","■")))),"")</f>
        <v/>
      </c>
      <c r="O84" s="9">
        <f>IF(AND(8&gt;=$D84,8&lt;=$E84),IF($F84="완료","●",IF($F84="진행중","▶",IF($F84="제외",".",IF($F84="보류","◇","■")))),"")</f>
        <v/>
      </c>
      <c r="P84" s="9">
        <f>IF(AND(9&gt;=$D84,9&lt;=$E84),IF($F84="완료","●",IF($F84="진행중","▶",IF($F84="제외",".",IF($F84="보류","◇","■")))),"")</f>
        <v/>
      </c>
      <c r="Q84" s="9">
        <f>IF(AND(10&gt;=$D84,10&lt;=$E84),IF($F84="완료","●",IF($F84="진행중","▶",IF($F84="제외",".",IF($F84="보류","◇","■")))),"")</f>
        <v/>
      </c>
      <c r="R84" s="9">
        <f>IF(AND(11&gt;=$D84,11&lt;=$E84),IF($F84="완료","●",IF($F84="진행중","▶",IF($F84="제외",".",IF($F84="보류","◇","■")))),"")</f>
        <v/>
      </c>
      <c r="S84" s="9">
        <f>IF(AND(12&gt;=$D84,12&lt;=$E84),IF($F84="완료","●",IF($F84="진행중","▶",IF($F84="제외",".",IF($F84="보류","◇","■")))),"")</f>
        <v/>
      </c>
      <c r="T84" s="9">
        <f>IF(AND(13&gt;=$D84,13&lt;=$E84),IF($F84="완료","●",IF($F84="진행중","▶",IF($F84="제외",".",IF($F84="보류","◇","■")))),"")</f>
        <v/>
      </c>
      <c r="U84" s="9">
        <f>IF(AND(14&gt;=$D84,14&lt;=$E84),IF($F84="완료","●",IF($F84="진행중","▶",IF($F84="제외",".",IF($F84="보류","◇","■")))),"")</f>
        <v/>
      </c>
      <c r="V84" s="9">
        <f>IF(AND(15&gt;=$D84,15&lt;=$E84),IF($F84="완료","●",IF($F84="진행중","▶",IF($F84="제외",".",IF($F84="보류","◇","■")))),"")</f>
        <v/>
      </c>
    </row>
    <row r="85" outlineLevel="1" ht="18" customHeight="1">
      <c r="A85" s="9">
        <f>WBS!A85</f>
        <v/>
      </c>
      <c r="B85" s="10">
        <f>WBS!C85</f>
        <v/>
      </c>
      <c r="C85" s="9">
        <f>WBS!K85</f>
        <v/>
      </c>
      <c r="D85" s="9">
        <f>WBS!G85</f>
        <v/>
      </c>
      <c r="E85" s="9">
        <f>WBS!H85</f>
        <v/>
      </c>
      <c r="F85" s="9">
        <f>WBS!O85</f>
        <v/>
      </c>
      <c r="G85" s="14">
        <f>WBS!P85</f>
        <v/>
      </c>
      <c r="H85" s="9">
        <f>IF(AND(1&gt;=$D85,1&lt;=$E85),IF($F85="완료","●",IF($F85="진행중","▶",IF($F85="제외",".",IF($F85="보류","◇","■")))),"")</f>
        <v/>
      </c>
      <c r="I85" s="9">
        <f>IF(AND(2&gt;=$D85,2&lt;=$E85),IF($F85="완료","●",IF($F85="진행중","▶",IF($F85="제외",".",IF($F85="보류","◇","■")))),"")</f>
        <v/>
      </c>
      <c r="J85" s="9">
        <f>IF(AND(3&gt;=$D85,3&lt;=$E85),IF($F85="완료","●",IF($F85="진행중","▶",IF($F85="제외",".",IF($F85="보류","◇","■")))),"")</f>
        <v/>
      </c>
      <c r="K85" s="9">
        <f>IF(AND(4&gt;=$D85,4&lt;=$E85),IF($F85="완료","●",IF($F85="진행중","▶",IF($F85="제외",".",IF($F85="보류","◇","■")))),"")</f>
        <v/>
      </c>
      <c r="L85" s="9">
        <f>IF(AND(5&gt;=$D85,5&lt;=$E85),IF($F85="완료","●",IF($F85="진행중","▶",IF($F85="제외",".",IF($F85="보류","◇","■")))),"")</f>
        <v/>
      </c>
      <c r="M85" s="9">
        <f>IF(AND(6&gt;=$D85,6&lt;=$E85),IF($F85="완료","●",IF($F85="진행중","▶",IF($F85="제외",".",IF($F85="보류","◇","■")))),"")</f>
        <v/>
      </c>
      <c r="N85" s="9">
        <f>IF(AND(7&gt;=$D85,7&lt;=$E85),IF($F85="완료","●",IF($F85="진행중","▶",IF($F85="제외",".",IF($F85="보류","◇","■")))),"")</f>
        <v/>
      </c>
      <c r="O85" s="9">
        <f>IF(AND(8&gt;=$D85,8&lt;=$E85),IF($F85="완료","●",IF($F85="진행중","▶",IF($F85="제외",".",IF($F85="보류","◇","■")))),"")</f>
        <v/>
      </c>
      <c r="P85" s="9">
        <f>IF(AND(9&gt;=$D85,9&lt;=$E85),IF($F85="완료","●",IF($F85="진행중","▶",IF($F85="제외",".",IF($F85="보류","◇","■")))),"")</f>
        <v/>
      </c>
      <c r="Q85" s="9">
        <f>IF(AND(10&gt;=$D85,10&lt;=$E85),IF($F85="완료","●",IF($F85="진행중","▶",IF($F85="제외",".",IF($F85="보류","◇","■")))),"")</f>
        <v/>
      </c>
      <c r="R85" s="9">
        <f>IF(AND(11&gt;=$D85,11&lt;=$E85),IF($F85="완료","●",IF($F85="진행중","▶",IF($F85="제외",".",IF($F85="보류","◇","■")))),"")</f>
        <v/>
      </c>
      <c r="S85" s="9">
        <f>IF(AND(12&gt;=$D85,12&lt;=$E85),IF($F85="완료","●",IF($F85="진행중","▶",IF($F85="제외",".",IF($F85="보류","◇","■")))),"")</f>
        <v/>
      </c>
      <c r="T85" s="9">
        <f>IF(AND(13&gt;=$D85,13&lt;=$E85),IF($F85="완료","●",IF($F85="진행중","▶",IF($F85="제외",".",IF($F85="보류","◇","■")))),"")</f>
        <v/>
      </c>
      <c r="U85" s="9">
        <f>IF(AND(14&gt;=$D85,14&lt;=$E85),IF($F85="완료","●",IF($F85="진행중","▶",IF($F85="제외",".",IF($F85="보류","◇","■")))),"")</f>
        <v/>
      </c>
      <c r="V85" s="9">
        <f>IF(AND(15&gt;=$D85,15&lt;=$E85),IF($F85="완료","●",IF($F85="진행중","▶",IF($F85="제외",".",IF($F85="보류","◇","■")))),"")</f>
        <v/>
      </c>
    </row>
    <row r="86" outlineLevel="1" ht="18" customHeight="1">
      <c r="A86" s="9">
        <f>WBS!A86</f>
        <v/>
      </c>
      <c r="B86" s="10">
        <f>WBS!C86</f>
        <v/>
      </c>
      <c r="C86" s="9">
        <f>WBS!K86</f>
        <v/>
      </c>
      <c r="D86" s="9">
        <f>WBS!G86</f>
        <v/>
      </c>
      <c r="E86" s="9">
        <f>WBS!H86</f>
        <v/>
      </c>
      <c r="F86" s="9">
        <f>WBS!O86</f>
        <v/>
      </c>
      <c r="G86" s="14">
        <f>WBS!P86</f>
        <v/>
      </c>
      <c r="H86" s="9">
        <f>IF(AND(1&gt;=$D86,1&lt;=$E86),IF($F86="완료","●",IF($F86="진행중","▶",IF($F86="제외",".",IF($F86="보류","◇","■")))),"")</f>
        <v/>
      </c>
      <c r="I86" s="9">
        <f>IF(AND(2&gt;=$D86,2&lt;=$E86),IF($F86="완료","●",IF($F86="진행중","▶",IF($F86="제외",".",IF($F86="보류","◇","■")))),"")</f>
        <v/>
      </c>
      <c r="J86" s="9">
        <f>IF(AND(3&gt;=$D86,3&lt;=$E86),IF($F86="완료","●",IF($F86="진행중","▶",IF($F86="제외",".",IF($F86="보류","◇","■")))),"")</f>
        <v/>
      </c>
      <c r="K86" s="9">
        <f>IF(AND(4&gt;=$D86,4&lt;=$E86),IF($F86="완료","●",IF($F86="진행중","▶",IF($F86="제외",".",IF($F86="보류","◇","■")))),"")</f>
        <v/>
      </c>
      <c r="L86" s="9">
        <f>IF(AND(5&gt;=$D86,5&lt;=$E86),IF($F86="완료","●",IF($F86="진행중","▶",IF($F86="제외",".",IF($F86="보류","◇","■")))),"")</f>
        <v/>
      </c>
      <c r="M86" s="9">
        <f>IF(AND(6&gt;=$D86,6&lt;=$E86),IF($F86="완료","●",IF($F86="진행중","▶",IF($F86="제외",".",IF($F86="보류","◇","■")))),"")</f>
        <v/>
      </c>
      <c r="N86" s="9">
        <f>IF(AND(7&gt;=$D86,7&lt;=$E86),IF($F86="완료","●",IF($F86="진행중","▶",IF($F86="제외",".",IF($F86="보류","◇","■")))),"")</f>
        <v/>
      </c>
      <c r="O86" s="9">
        <f>IF(AND(8&gt;=$D86,8&lt;=$E86),IF($F86="완료","●",IF($F86="진행중","▶",IF($F86="제외",".",IF($F86="보류","◇","■")))),"")</f>
        <v/>
      </c>
      <c r="P86" s="9">
        <f>IF(AND(9&gt;=$D86,9&lt;=$E86),IF($F86="완료","●",IF($F86="진행중","▶",IF($F86="제외",".",IF($F86="보류","◇","■")))),"")</f>
        <v/>
      </c>
      <c r="Q86" s="9">
        <f>IF(AND(10&gt;=$D86,10&lt;=$E86),IF($F86="완료","●",IF($F86="진행중","▶",IF($F86="제외",".",IF($F86="보류","◇","■")))),"")</f>
        <v/>
      </c>
      <c r="R86" s="9">
        <f>IF(AND(11&gt;=$D86,11&lt;=$E86),IF($F86="완료","●",IF($F86="진행중","▶",IF($F86="제외",".",IF($F86="보류","◇","■")))),"")</f>
        <v/>
      </c>
      <c r="S86" s="9">
        <f>IF(AND(12&gt;=$D86,12&lt;=$E86),IF($F86="완료","●",IF($F86="진행중","▶",IF($F86="제외",".",IF($F86="보류","◇","■")))),"")</f>
        <v/>
      </c>
      <c r="T86" s="9">
        <f>IF(AND(13&gt;=$D86,13&lt;=$E86),IF($F86="완료","●",IF($F86="진행중","▶",IF($F86="제외",".",IF($F86="보류","◇","■")))),"")</f>
        <v/>
      </c>
      <c r="U86" s="9">
        <f>IF(AND(14&gt;=$D86,14&lt;=$E86),IF($F86="완료","●",IF($F86="진행중","▶",IF($F86="제외",".",IF($F86="보류","◇","■")))),"")</f>
        <v/>
      </c>
      <c r="V86" s="9">
        <f>IF(AND(15&gt;=$D86,15&lt;=$E86),IF($F86="완료","●",IF($F86="진행중","▶",IF($F86="제외",".",IF($F86="보류","◇","■")))),"")</f>
        <v/>
      </c>
    </row>
    <row r="87" outlineLevel="1" ht="18" customHeight="1">
      <c r="A87" s="9">
        <f>WBS!A87</f>
        <v/>
      </c>
      <c r="B87" s="10">
        <f>WBS!C87</f>
        <v/>
      </c>
      <c r="C87" s="9">
        <f>WBS!K87</f>
        <v/>
      </c>
      <c r="D87" s="9">
        <f>WBS!G87</f>
        <v/>
      </c>
      <c r="E87" s="9">
        <f>WBS!H87</f>
        <v/>
      </c>
      <c r="F87" s="9">
        <f>WBS!O87</f>
        <v/>
      </c>
      <c r="G87" s="14">
        <f>WBS!P87</f>
        <v/>
      </c>
      <c r="H87" s="9">
        <f>IF(AND(1&gt;=$D87,1&lt;=$E87),IF($F87="완료","●",IF($F87="진행중","▶",IF($F87="제외",".",IF($F87="보류","◇","■")))),"")</f>
        <v/>
      </c>
      <c r="I87" s="9">
        <f>IF(AND(2&gt;=$D87,2&lt;=$E87),IF($F87="완료","●",IF($F87="진행중","▶",IF($F87="제외",".",IF($F87="보류","◇","■")))),"")</f>
        <v/>
      </c>
      <c r="J87" s="9">
        <f>IF(AND(3&gt;=$D87,3&lt;=$E87),IF($F87="완료","●",IF($F87="진행중","▶",IF($F87="제외",".",IF($F87="보류","◇","■")))),"")</f>
        <v/>
      </c>
      <c r="K87" s="9">
        <f>IF(AND(4&gt;=$D87,4&lt;=$E87),IF($F87="완료","●",IF($F87="진행중","▶",IF($F87="제외",".",IF($F87="보류","◇","■")))),"")</f>
        <v/>
      </c>
      <c r="L87" s="9">
        <f>IF(AND(5&gt;=$D87,5&lt;=$E87),IF($F87="완료","●",IF($F87="진행중","▶",IF($F87="제외",".",IF($F87="보류","◇","■")))),"")</f>
        <v/>
      </c>
      <c r="M87" s="9">
        <f>IF(AND(6&gt;=$D87,6&lt;=$E87),IF($F87="완료","●",IF($F87="진행중","▶",IF($F87="제외",".",IF($F87="보류","◇","■")))),"")</f>
        <v/>
      </c>
      <c r="N87" s="9">
        <f>IF(AND(7&gt;=$D87,7&lt;=$E87),IF($F87="완료","●",IF($F87="진행중","▶",IF($F87="제외",".",IF($F87="보류","◇","■")))),"")</f>
        <v/>
      </c>
      <c r="O87" s="9">
        <f>IF(AND(8&gt;=$D87,8&lt;=$E87),IF($F87="완료","●",IF($F87="진행중","▶",IF($F87="제외",".",IF($F87="보류","◇","■")))),"")</f>
        <v/>
      </c>
      <c r="P87" s="9">
        <f>IF(AND(9&gt;=$D87,9&lt;=$E87),IF($F87="완료","●",IF($F87="진행중","▶",IF($F87="제외",".",IF($F87="보류","◇","■")))),"")</f>
        <v/>
      </c>
      <c r="Q87" s="9">
        <f>IF(AND(10&gt;=$D87,10&lt;=$E87),IF($F87="완료","●",IF($F87="진행중","▶",IF($F87="제외",".",IF($F87="보류","◇","■")))),"")</f>
        <v/>
      </c>
      <c r="R87" s="9">
        <f>IF(AND(11&gt;=$D87,11&lt;=$E87),IF($F87="완료","●",IF($F87="진행중","▶",IF($F87="제외",".",IF($F87="보류","◇","■")))),"")</f>
        <v/>
      </c>
      <c r="S87" s="9">
        <f>IF(AND(12&gt;=$D87,12&lt;=$E87),IF($F87="완료","●",IF($F87="진행중","▶",IF($F87="제외",".",IF($F87="보류","◇","■")))),"")</f>
        <v/>
      </c>
      <c r="T87" s="9">
        <f>IF(AND(13&gt;=$D87,13&lt;=$E87),IF($F87="완료","●",IF($F87="진행중","▶",IF($F87="제외",".",IF($F87="보류","◇","■")))),"")</f>
        <v/>
      </c>
      <c r="U87" s="9">
        <f>IF(AND(14&gt;=$D87,14&lt;=$E87),IF($F87="완료","●",IF($F87="진행중","▶",IF($F87="제외",".",IF($F87="보류","◇","■")))),"")</f>
        <v/>
      </c>
      <c r="V87" s="9">
        <f>IF(AND(15&gt;=$D87,15&lt;=$E87),IF($F87="완료","●",IF($F87="진행중","▶",IF($F87="제외",".",IF($F87="보류","◇","■")))),"")</f>
        <v/>
      </c>
    </row>
    <row r="88" outlineLevel="1" ht="18" customHeight="1">
      <c r="A88" s="9">
        <f>WBS!A88</f>
        <v/>
      </c>
      <c r="B88" s="10">
        <f>WBS!C88</f>
        <v/>
      </c>
      <c r="C88" s="9">
        <f>WBS!K88</f>
        <v/>
      </c>
      <c r="D88" s="9">
        <f>WBS!G88</f>
        <v/>
      </c>
      <c r="E88" s="9">
        <f>WBS!H88</f>
        <v/>
      </c>
      <c r="F88" s="9">
        <f>WBS!O88</f>
        <v/>
      </c>
      <c r="G88" s="14">
        <f>WBS!P88</f>
        <v/>
      </c>
      <c r="H88" s="9">
        <f>IF(AND(1&gt;=$D88,1&lt;=$E88),IF($F88="완료","●",IF($F88="진행중","▶",IF($F88="제외",".",IF($F88="보류","◇","■")))),"")</f>
        <v/>
      </c>
      <c r="I88" s="9">
        <f>IF(AND(2&gt;=$D88,2&lt;=$E88),IF($F88="완료","●",IF($F88="진행중","▶",IF($F88="제외",".",IF($F88="보류","◇","■")))),"")</f>
        <v/>
      </c>
      <c r="J88" s="9">
        <f>IF(AND(3&gt;=$D88,3&lt;=$E88),IF($F88="완료","●",IF($F88="진행중","▶",IF($F88="제외",".",IF($F88="보류","◇","■")))),"")</f>
        <v/>
      </c>
      <c r="K88" s="9">
        <f>IF(AND(4&gt;=$D88,4&lt;=$E88),IF($F88="완료","●",IF($F88="진행중","▶",IF($F88="제외",".",IF($F88="보류","◇","■")))),"")</f>
        <v/>
      </c>
      <c r="L88" s="9">
        <f>IF(AND(5&gt;=$D88,5&lt;=$E88),IF($F88="완료","●",IF($F88="진행중","▶",IF($F88="제외",".",IF($F88="보류","◇","■")))),"")</f>
        <v/>
      </c>
      <c r="M88" s="9">
        <f>IF(AND(6&gt;=$D88,6&lt;=$E88),IF($F88="완료","●",IF($F88="진행중","▶",IF($F88="제외",".",IF($F88="보류","◇","■")))),"")</f>
        <v/>
      </c>
      <c r="N88" s="9">
        <f>IF(AND(7&gt;=$D88,7&lt;=$E88),IF($F88="완료","●",IF($F88="진행중","▶",IF($F88="제외",".",IF($F88="보류","◇","■")))),"")</f>
        <v/>
      </c>
      <c r="O88" s="9">
        <f>IF(AND(8&gt;=$D88,8&lt;=$E88),IF($F88="완료","●",IF($F88="진행중","▶",IF($F88="제외",".",IF($F88="보류","◇","■")))),"")</f>
        <v/>
      </c>
      <c r="P88" s="9">
        <f>IF(AND(9&gt;=$D88,9&lt;=$E88),IF($F88="완료","●",IF($F88="진행중","▶",IF($F88="제외",".",IF($F88="보류","◇","■")))),"")</f>
        <v/>
      </c>
      <c r="Q88" s="9">
        <f>IF(AND(10&gt;=$D88,10&lt;=$E88),IF($F88="완료","●",IF($F88="진행중","▶",IF($F88="제외",".",IF($F88="보류","◇","■")))),"")</f>
        <v/>
      </c>
      <c r="R88" s="9">
        <f>IF(AND(11&gt;=$D88,11&lt;=$E88),IF($F88="완료","●",IF($F88="진행중","▶",IF($F88="제외",".",IF($F88="보류","◇","■")))),"")</f>
        <v/>
      </c>
      <c r="S88" s="9">
        <f>IF(AND(12&gt;=$D88,12&lt;=$E88),IF($F88="완료","●",IF($F88="진행중","▶",IF($F88="제외",".",IF($F88="보류","◇","■")))),"")</f>
        <v/>
      </c>
      <c r="T88" s="9">
        <f>IF(AND(13&gt;=$D88,13&lt;=$E88),IF($F88="완료","●",IF($F88="진행중","▶",IF($F88="제외",".",IF($F88="보류","◇","■")))),"")</f>
        <v/>
      </c>
      <c r="U88" s="9">
        <f>IF(AND(14&gt;=$D88,14&lt;=$E88),IF($F88="완료","●",IF($F88="진행중","▶",IF($F88="제외",".",IF($F88="보류","◇","■")))),"")</f>
        <v/>
      </c>
      <c r="V88" s="9">
        <f>IF(AND(15&gt;=$D88,15&lt;=$E88),IF($F88="완료","●",IF($F88="진행중","▶",IF($F88="제외",".",IF($F88="보류","◇","■")))),"")</f>
        <v/>
      </c>
    </row>
    <row r="89" outlineLevel="1" ht="18" customHeight="1">
      <c r="A89" s="9">
        <f>WBS!A89</f>
        <v/>
      </c>
      <c r="B89" s="10">
        <f>WBS!C89</f>
        <v/>
      </c>
      <c r="C89" s="9">
        <f>WBS!K89</f>
        <v/>
      </c>
      <c r="D89" s="9">
        <f>WBS!G89</f>
        <v/>
      </c>
      <c r="E89" s="9">
        <f>WBS!H89</f>
        <v/>
      </c>
      <c r="F89" s="9">
        <f>WBS!O89</f>
        <v/>
      </c>
      <c r="G89" s="14">
        <f>WBS!P89</f>
        <v/>
      </c>
      <c r="H89" s="9">
        <f>IF(AND(1&gt;=$D89,1&lt;=$E89),IF($F89="완료","●",IF($F89="진행중","▶",IF($F89="제외",".",IF($F89="보류","◇","■")))),"")</f>
        <v/>
      </c>
      <c r="I89" s="9">
        <f>IF(AND(2&gt;=$D89,2&lt;=$E89),IF($F89="완료","●",IF($F89="진행중","▶",IF($F89="제외",".",IF($F89="보류","◇","■")))),"")</f>
        <v/>
      </c>
      <c r="J89" s="9">
        <f>IF(AND(3&gt;=$D89,3&lt;=$E89),IF($F89="완료","●",IF($F89="진행중","▶",IF($F89="제외",".",IF($F89="보류","◇","■")))),"")</f>
        <v/>
      </c>
      <c r="K89" s="9">
        <f>IF(AND(4&gt;=$D89,4&lt;=$E89),IF($F89="완료","●",IF($F89="진행중","▶",IF($F89="제외",".",IF($F89="보류","◇","■")))),"")</f>
        <v/>
      </c>
      <c r="L89" s="9">
        <f>IF(AND(5&gt;=$D89,5&lt;=$E89),IF($F89="완료","●",IF($F89="진행중","▶",IF($F89="제외",".",IF($F89="보류","◇","■")))),"")</f>
        <v/>
      </c>
      <c r="M89" s="9">
        <f>IF(AND(6&gt;=$D89,6&lt;=$E89),IF($F89="완료","●",IF($F89="진행중","▶",IF($F89="제외",".",IF($F89="보류","◇","■")))),"")</f>
        <v/>
      </c>
      <c r="N89" s="9">
        <f>IF(AND(7&gt;=$D89,7&lt;=$E89),IF($F89="완료","●",IF($F89="진행중","▶",IF($F89="제외",".",IF($F89="보류","◇","■")))),"")</f>
        <v/>
      </c>
      <c r="O89" s="9">
        <f>IF(AND(8&gt;=$D89,8&lt;=$E89),IF($F89="완료","●",IF($F89="진행중","▶",IF($F89="제외",".",IF($F89="보류","◇","■")))),"")</f>
        <v/>
      </c>
      <c r="P89" s="9">
        <f>IF(AND(9&gt;=$D89,9&lt;=$E89),IF($F89="완료","●",IF($F89="진행중","▶",IF($F89="제외",".",IF($F89="보류","◇","■")))),"")</f>
        <v/>
      </c>
      <c r="Q89" s="9">
        <f>IF(AND(10&gt;=$D89,10&lt;=$E89),IF($F89="완료","●",IF($F89="진행중","▶",IF($F89="제외",".",IF($F89="보류","◇","■")))),"")</f>
        <v/>
      </c>
      <c r="R89" s="9">
        <f>IF(AND(11&gt;=$D89,11&lt;=$E89),IF($F89="완료","●",IF($F89="진행중","▶",IF($F89="제외",".",IF($F89="보류","◇","■")))),"")</f>
        <v/>
      </c>
      <c r="S89" s="9">
        <f>IF(AND(12&gt;=$D89,12&lt;=$E89),IF($F89="완료","●",IF($F89="진행중","▶",IF($F89="제외",".",IF($F89="보류","◇","■")))),"")</f>
        <v/>
      </c>
      <c r="T89" s="9">
        <f>IF(AND(13&gt;=$D89,13&lt;=$E89),IF($F89="완료","●",IF($F89="진행중","▶",IF($F89="제외",".",IF($F89="보류","◇","■")))),"")</f>
        <v/>
      </c>
      <c r="U89" s="9">
        <f>IF(AND(14&gt;=$D89,14&lt;=$E89),IF($F89="완료","●",IF($F89="진행중","▶",IF($F89="제외",".",IF($F89="보류","◇","■")))),"")</f>
        <v/>
      </c>
      <c r="V89" s="9">
        <f>IF(AND(15&gt;=$D89,15&lt;=$E89),IF($F89="완료","●",IF($F89="진행중","▶",IF($F89="제외",".",IF($F89="보류","◇","■")))),"")</f>
        <v/>
      </c>
    </row>
    <row r="90" outlineLevel="1" ht="18" customHeight="1">
      <c r="A90" s="9">
        <f>WBS!A90</f>
        <v/>
      </c>
      <c r="B90" s="10">
        <f>WBS!C90</f>
        <v/>
      </c>
      <c r="C90" s="9">
        <f>WBS!K90</f>
        <v/>
      </c>
      <c r="D90" s="9">
        <f>WBS!G90</f>
        <v/>
      </c>
      <c r="E90" s="9">
        <f>WBS!H90</f>
        <v/>
      </c>
      <c r="F90" s="9">
        <f>WBS!O90</f>
        <v/>
      </c>
      <c r="G90" s="14">
        <f>WBS!P90</f>
        <v/>
      </c>
      <c r="H90" s="9">
        <f>IF(AND(1&gt;=$D90,1&lt;=$E90),IF($F90="완료","●",IF($F90="진행중","▶",IF($F90="제외",".",IF($F90="보류","◇","■")))),"")</f>
        <v/>
      </c>
      <c r="I90" s="9">
        <f>IF(AND(2&gt;=$D90,2&lt;=$E90),IF($F90="완료","●",IF($F90="진행중","▶",IF($F90="제외",".",IF($F90="보류","◇","■")))),"")</f>
        <v/>
      </c>
      <c r="J90" s="9">
        <f>IF(AND(3&gt;=$D90,3&lt;=$E90),IF($F90="완료","●",IF($F90="진행중","▶",IF($F90="제외",".",IF($F90="보류","◇","■")))),"")</f>
        <v/>
      </c>
      <c r="K90" s="9">
        <f>IF(AND(4&gt;=$D90,4&lt;=$E90),IF($F90="완료","●",IF($F90="진행중","▶",IF($F90="제외",".",IF($F90="보류","◇","■")))),"")</f>
        <v/>
      </c>
      <c r="L90" s="9">
        <f>IF(AND(5&gt;=$D90,5&lt;=$E90),IF($F90="완료","●",IF($F90="진행중","▶",IF($F90="제외",".",IF($F90="보류","◇","■")))),"")</f>
        <v/>
      </c>
      <c r="M90" s="9">
        <f>IF(AND(6&gt;=$D90,6&lt;=$E90),IF($F90="완료","●",IF($F90="진행중","▶",IF($F90="제외",".",IF($F90="보류","◇","■")))),"")</f>
        <v/>
      </c>
      <c r="N90" s="9">
        <f>IF(AND(7&gt;=$D90,7&lt;=$E90),IF($F90="완료","●",IF($F90="진행중","▶",IF($F90="제외",".",IF($F90="보류","◇","■")))),"")</f>
        <v/>
      </c>
      <c r="O90" s="9">
        <f>IF(AND(8&gt;=$D90,8&lt;=$E90),IF($F90="완료","●",IF($F90="진행중","▶",IF($F90="제외",".",IF($F90="보류","◇","■")))),"")</f>
        <v/>
      </c>
      <c r="P90" s="9">
        <f>IF(AND(9&gt;=$D90,9&lt;=$E90),IF($F90="완료","●",IF($F90="진행중","▶",IF($F90="제외",".",IF($F90="보류","◇","■")))),"")</f>
        <v/>
      </c>
      <c r="Q90" s="9">
        <f>IF(AND(10&gt;=$D90,10&lt;=$E90),IF($F90="완료","●",IF($F90="진행중","▶",IF($F90="제외",".",IF($F90="보류","◇","■")))),"")</f>
        <v/>
      </c>
      <c r="R90" s="9">
        <f>IF(AND(11&gt;=$D90,11&lt;=$E90),IF($F90="완료","●",IF($F90="진행중","▶",IF($F90="제외",".",IF($F90="보류","◇","■")))),"")</f>
        <v/>
      </c>
      <c r="S90" s="9">
        <f>IF(AND(12&gt;=$D90,12&lt;=$E90),IF($F90="완료","●",IF($F90="진행중","▶",IF($F90="제외",".",IF($F90="보류","◇","■")))),"")</f>
        <v/>
      </c>
      <c r="T90" s="9">
        <f>IF(AND(13&gt;=$D90,13&lt;=$E90),IF($F90="완료","●",IF($F90="진행중","▶",IF($F90="제외",".",IF($F90="보류","◇","■")))),"")</f>
        <v/>
      </c>
      <c r="U90" s="9">
        <f>IF(AND(14&gt;=$D90,14&lt;=$E90),IF($F90="완료","●",IF($F90="진행중","▶",IF($F90="제외",".",IF($F90="보류","◇","■")))),"")</f>
        <v/>
      </c>
      <c r="V90" s="9">
        <f>IF(AND(15&gt;=$D90,15&lt;=$E90),IF($F90="완료","●",IF($F90="진행중","▶",IF($F90="제외",".",IF($F90="보류","◇","■")))),"")</f>
        <v/>
      </c>
    </row>
    <row r="92">
      <c r="A92" s="38" t="inlineStr">
        <is>
          <t>마일스톤</t>
        </is>
      </c>
    </row>
    <row r="93">
      <c r="A93" s="39" t="inlineStr">
        <is>
          <t>M1</t>
        </is>
      </c>
      <c r="B93" s="40" t="inlineStr">
        <is>
          <t>분석 완료 — 정의서 4종 + 백로그·WBS</t>
        </is>
      </c>
      <c r="C93" s="39" t="inlineStr">
        <is>
          <t>WBS 2.5</t>
        </is>
      </c>
      <c r="D93" s="39" t="n">
        <v>3</v>
      </c>
      <c r="E93" s="39" t="n">
        <v>3</v>
      </c>
      <c r="F93" s="39" t="inlineStr">
        <is>
          <t>완료</t>
        </is>
      </c>
      <c r="G93" s="39" t="n"/>
      <c r="H93" s="41">
        <f>IF(1=$D93,IF($F93="완료","◆","◇"),"")</f>
        <v/>
      </c>
      <c r="I93" s="41">
        <f>IF(2=$D93,IF($F93="완료","◆","◇"),"")</f>
        <v/>
      </c>
      <c r="J93" s="41">
        <f>IF(3=$D93,IF($F93="완료","◆","◇"),"")</f>
        <v/>
      </c>
      <c r="K93" s="41">
        <f>IF(4=$D93,IF($F93="완료","◆","◇"),"")</f>
        <v/>
      </c>
      <c r="L93" s="41">
        <f>IF(5=$D93,IF($F93="완료","◆","◇"),"")</f>
        <v/>
      </c>
      <c r="M93" s="41">
        <f>IF(6=$D93,IF($F93="완료","◆","◇"),"")</f>
        <v/>
      </c>
      <c r="N93" s="41">
        <f>IF(7=$D93,IF($F93="완료","◆","◇"),"")</f>
        <v/>
      </c>
      <c r="O93" s="41">
        <f>IF(8=$D93,IF($F93="완료","◆","◇"),"")</f>
        <v/>
      </c>
      <c r="P93" s="41">
        <f>IF(9=$D93,IF($F93="완료","◆","◇"),"")</f>
        <v/>
      </c>
      <c r="Q93" s="41">
        <f>IF(10=$D93,IF($F93="완료","◆","◇"),"")</f>
        <v/>
      </c>
      <c r="R93" s="41">
        <f>IF(11=$D93,IF($F93="완료","◆","◇"),"")</f>
        <v/>
      </c>
      <c r="S93" s="41">
        <f>IF(12=$D93,IF($F93="완료","◆","◇"),"")</f>
        <v/>
      </c>
      <c r="T93" s="41">
        <f>IF(13=$D93,IF($F93="완료","◆","◇"),"")</f>
        <v/>
      </c>
      <c r="U93" s="41">
        <f>IF(14=$D93,IF($F93="완료","◆","◇"),"")</f>
        <v/>
      </c>
      <c r="V93" s="41">
        <f>IF(15=$D93,IF($F93="완료","◆","◇"),"")</f>
        <v/>
      </c>
    </row>
    <row r="94">
      <c r="A94" s="39" t="inlineStr">
        <is>
          <t>M2</t>
        </is>
      </c>
      <c r="B94" s="40" t="inlineStr">
        <is>
          <t>설계 완료 — 스택·ERD·API·규칙·화면, 미결 확정</t>
        </is>
      </c>
      <c r="C94" s="39" t="inlineStr">
        <is>
          <t>WBS 3.8</t>
        </is>
      </c>
      <c r="D94" s="39" t="n">
        <v>5</v>
      </c>
      <c r="E94" s="39" t="n">
        <v>5</v>
      </c>
      <c r="F94" s="39" t="inlineStr">
        <is>
          <t>대기</t>
        </is>
      </c>
      <c r="G94" s="39" t="n"/>
      <c r="H94" s="41">
        <f>IF(1=$D94,IF($F94="완료","◆","◇"),"")</f>
        <v/>
      </c>
      <c r="I94" s="41">
        <f>IF(2=$D94,IF($F94="완료","◆","◇"),"")</f>
        <v/>
      </c>
      <c r="J94" s="41">
        <f>IF(3=$D94,IF($F94="완료","◆","◇"),"")</f>
        <v/>
      </c>
      <c r="K94" s="41">
        <f>IF(4=$D94,IF($F94="완료","◆","◇"),"")</f>
        <v/>
      </c>
      <c r="L94" s="41">
        <f>IF(5=$D94,IF($F94="완료","◆","◇"),"")</f>
        <v/>
      </c>
      <c r="M94" s="41">
        <f>IF(6=$D94,IF($F94="완료","◆","◇"),"")</f>
        <v/>
      </c>
      <c r="N94" s="41">
        <f>IF(7=$D94,IF($F94="완료","◆","◇"),"")</f>
        <v/>
      </c>
      <c r="O94" s="41">
        <f>IF(8=$D94,IF($F94="완료","◆","◇"),"")</f>
        <v/>
      </c>
      <c r="P94" s="41">
        <f>IF(9=$D94,IF($F94="완료","◆","◇"),"")</f>
        <v/>
      </c>
      <c r="Q94" s="41">
        <f>IF(10=$D94,IF($F94="완료","◆","◇"),"")</f>
        <v/>
      </c>
      <c r="R94" s="41">
        <f>IF(11=$D94,IF($F94="완료","◆","◇"),"")</f>
        <v/>
      </c>
      <c r="S94" s="41">
        <f>IF(12=$D94,IF($F94="완료","◆","◇"),"")</f>
        <v/>
      </c>
      <c r="T94" s="41">
        <f>IF(13=$D94,IF($F94="완료","◆","◇"),"")</f>
        <v/>
      </c>
      <c r="U94" s="41">
        <f>IF(14=$D94,IF($F94="완료","◆","◇"),"")</f>
        <v/>
      </c>
      <c r="V94" s="41">
        <f>IF(15=$D94,IF($F94="완료","◆","◇"),"")</f>
        <v/>
      </c>
    </row>
    <row r="95">
      <c r="A95" s="39" t="inlineStr">
        <is>
          <t>M3</t>
        </is>
      </c>
      <c r="B95" s="40" t="inlineStr">
        <is>
          <t>수집 수직 슬라이스 — 원본/정규화가 주기적으로 쌓임</t>
        </is>
      </c>
      <c r="C95" s="39" t="inlineStr">
        <is>
          <t>WBS 4.2.4</t>
        </is>
      </c>
      <c r="D95" s="39" t="n">
        <v>7</v>
      </c>
      <c r="E95" s="39" t="n">
        <v>7</v>
      </c>
      <c r="F95" s="39" t="inlineStr">
        <is>
          <t>대기</t>
        </is>
      </c>
      <c r="G95" s="39" t="n"/>
      <c r="H95" s="41">
        <f>IF(1=$D95,IF($F95="완료","◆","◇"),"")</f>
        <v/>
      </c>
      <c r="I95" s="41">
        <f>IF(2=$D95,IF($F95="완료","◆","◇"),"")</f>
        <v/>
      </c>
      <c r="J95" s="41">
        <f>IF(3=$D95,IF($F95="완료","◆","◇"),"")</f>
        <v/>
      </c>
      <c r="K95" s="41">
        <f>IF(4=$D95,IF($F95="완료","◆","◇"),"")</f>
        <v/>
      </c>
      <c r="L95" s="41">
        <f>IF(5=$D95,IF($F95="완료","◆","◇"),"")</f>
        <v/>
      </c>
      <c r="M95" s="41">
        <f>IF(6=$D95,IF($F95="완료","◆","◇"),"")</f>
        <v/>
      </c>
      <c r="N95" s="41">
        <f>IF(7=$D95,IF($F95="완료","◆","◇"),"")</f>
        <v/>
      </c>
      <c r="O95" s="41">
        <f>IF(8=$D95,IF($F95="완료","◆","◇"),"")</f>
        <v/>
      </c>
      <c r="P95" s="41">
        <f>IF(9=$D95,IF($F95="완료","◆","◇"),"")</f>
        <v/>
      </c>
      <c r="Q95" s="41">
        <f>IF(10=$D95,IF($F95="완료","◆","◇"),"")</f>
        <v/>
      </c>
      <c r="R95" s="41">
        <f>IF(11=$D95,IF($F95="완료","◆","◇"),"")</f>
        <v/>
      </c>
      <c r="S95" s="41">
        <f>IF(12=$D95,IF($F95="완료","◆","◇"),"")</f>
        <v/>
      </c>
      <c r="T95" s="41">
        <f>IF(13=$D95,IF($F95="완료","◆","◇"),"")</f>
        <v/>
      </c>
      <c r="U95" s="41">
        <f>IF(14=$D95,IF($F95="완료","◆","◇"),"")</f>
        <v/>
      </c>
      <c r="V95" s="41">
        <f>IF(15=$D95,IF($F95="완료","◆","◇"),"")</f>
        <v/>
      </c>
    </row>
    <row r="96">
      <c r="A96" s="39" t="inlineStr">
        <is>
          <t>M4</t>
        </is>
      </c>
      <c r="B96" s="40" t="inlineStr">
        <is>
          <t>검지 데모 — 규칙 다수 + 자동보정/이슈 분기, 원본 불변</t>
        </is>
      </c>
      <c r="C96" s="39" t="inlineStr">
        <is>
          <t>WBS 4.4.5</t>
        </is>
      </c>
      <c r="D96" s="39" t="n">
        <v>9</v>
      </c>
      <c r="E96" s="39" t="n">
        <v>9</v>
      </c>
      <c r="F96" s="39" t="inlineStr">
        <is>
          <t>대기</t>
        </is>
      </c>
      <c r="G96" s="39" t="n"/>
      <c r="H96" s="41">
        <f>IF(1=$D96,IF($F96="완료","◆","◇"),"")</f>
        <v/>
      </c>
      <c r="I96" s="41">
        <f>IF(2=$D96,IF($F96="완료","◆","◇"),"")</f>
        <v/>
      </c>
      <c r="J96" s="41">
        <f>IF(3=$D96,IF($F96="완료","◆","◇"),"")</f>
        <v/>
      </c>
      <c r="K96" s="41">
        <f>IF(4=$D96,IF($F96="완료","◆","◇"),"")</f>
        <v/>
      </c>
      <c r="L96" s="41">
        <f>IF(5=$D96,IF($F96="완료","◆","◇"),"")</f>
        <v/>
      </c>
      <c r="M96" s="41">
        <f>IF(6=$D96,IF($F96="완료","◆","◇"),"")</f>
        <v/>
      </c>
      <c r="N96" s="41">
        <f>IF(7=$D96,IF($F96="완료","◆","◇"),"")</f>
        <v/>
      </c>
      <c r="O96" s="41">
        <f>IF(8=$D96,IF($F96="완료","◆","◇"),"")</f>
        <v/>
      </c>
      <c r="P96" s="41">
        <f>IF(9=$D96,IF($F96="완료","◆","◇"),"")</f>
        <v/>
      </c>
      <c r="Q96" s="41">
        <f>IF(10=$D96,IF($F96="완료","◆","◇"),"")</f>
        <v/>
      </c>
      <c r="R96" s="41">
        <f>IF(11=$D96,IF($F96="완료","◆","◇"),"")</f>
        <v/>
      </c>
      <c r="S96" s="41">
        <f>IF(12=$D96,IF($F96="완료","◆","◇"),"")</f>
        <v/>
      </c>
      <c r="T96" s="41">
        <f>IF(13=$D96,IF($F96="완료","◆","◇"),"")</f>
        <v/>
      </c>
      <c r="U96" s="41">
        <f>IF(14=$D96,IF($F96="완료","◆","◇"),"")</f>
        <v/>
      </c>
      <c r="V96" s="41">
        <f>IF(15=$D96,IF($F96="완료","◆","◇"),"")</f>
        <v/>
      </c>
    </row>
    <row r="97">
      <c r="A97" s="39" t="inlineStr">
        <is>
          <t>M5</t>
        </is>
      </c>
      <c r="B97" s="40" t="inlineStr">
        <is>
          <t>MVP 기능 동결 — 시연 Must 스토리 Done, 신규 Must 없음</t>
        </is>
      </c>
      <c r="C97" s="39" t="inlineStr">
        <is>
          <t>WBS 4.6.5</t>
        </is>
      </c>
      <c r="D97" s="39" t="n">
        <v>11</v>
      </c>
      <c r="E97" s="39" t="n">
        <v>11</v>
      </c>
      <c r="F97" s="39" t="inlineStr">
        <is>
          <t>대기</t>
        </is>
      </c>
      <c r="G97" s="39" t="n"/>
      <c r="H97" s="41">
        <f>IF(1=$D97,IF($F97="완료","◆","◇"),"")</f>
        <v/>
      </c>
      <c r="I97" s="41">
        <f>IF(2=$D97,IF($F97="완료","◆","◇"),"")</f>
        <v/>
      </c>
      <c r="J97" s="41">
        <f>IF(3=$D97,IF($F97="완료","◆","◇"),"")</f>
        <v/>
      </c>
      <c r="K97" s="41">
        <f>IF(4=$D97,IF($F97="완료","◆","◇"),"")</f>
        <v/>
      </c>
      <c r="L97" s="41">
        <f>IF(5=$D97,IF($F97="완료","◆","◇"),"")</f>
        <v/>
      </c>
      <c r="M97" s="41">
        <f>IF(6=$D97,IF($F97="완료","◆","◇"),"")</f>
        <v/>
      </c>
      <c r="N97" s="41">
        <f>IF(7=$D97,IF($F97="완료","◆","◇"),"")</f>
        <v/>
      </c>
      <c r="O97" s="41">
        <f>IF(8=$D97,IF($F97="완료","◆","◇"),"")</f>
        <v/>
      </c>
      <c r="P97" s="41">
        <f>IF(9=$D97,IF($F97="완료","◆","◇"),"")</f>
        <v/>
      </c>
      <c r="Q97" s="41">
        <f>IF(10=$D97,IF($F97="완료","◆","◇"),"")</f>
        <v/>
      </c>
      <c r="R97" s="41">
        <f>IF(11=$D97,IF($F97="완료","◆","◇"),"")</f>
        <v/>
      </c>
      <c r="S97" s="41">
        <f>IF(12=$D97,IF($F97="완료","◆","◇"),"")</f>
        <v/>
      </c>
      <c r="T97" s="41">
        <f>IF(13=$D97,IF($F97="완료","◆","◇"),"")</f>
        <v/>
      </c>
      <c r="U97" s="41">
        <f>IF(14=$D97,IF($F97="완료","◆","◇"),"")</f>
        <v/>
      </c>
      <c r="V97" s="41">
        <f>IF(15=$D97,IF($F97="완료","◆","◇"),"")</f>
        <v/>
      </c>
    </row>
    <row r="98">
      <c r="A98" s="39" t="inlineStr">
        <is>
          <t>M6</t>
        </is>
      </c>
      <c r="B98" s="40" t="inlineStr">
        <is>
          <t>시험 완료 — 필수 테스트 100%, 치명/주요 0</t>
        </is>
      </c>
      <c r="C98" s="39" t="inlineStr">
        <is>
          <t>WBS 5.7</t>
        </is>
      </c>
      <c r="D98" s="39" t="n">
        <v>13</v>
      </c>
      <c r="E98" s="39" t="n">
        <v>13</v>
      </c>
      <c r="F98" s="39" t="inlineStr">
        <is>
          <t>대기</t>
        </is>
      </c>
      <c r="G98" s="39" t="n"/>
      <c r="H98" s="41">
        <f>IF(1=$D98,IF($F98="완료","◆","◇"),"")</f>
        <v/>
      </c>
      <c r="I98" s="41">
        <f>IF(2=$D98,IF($F98="완료","◆","◇"),"")</f>
        <v/>
      </c>
      <c r="J98" s="41">
        <f>IF(3=$D98,IF($F98="완료","◆","◇"),"")</f>
        <v/>
      </c>
      <c r="K98" s="41">
        <f>IF(4=$D98,IF($F98="완료","◆","◇"),"")</f>
        <v/>
      </c>
      <c r="L98" s="41">
        <f>IF(5=$D98,IF($F98="완료","◆","◇"),"")</f>
        <v/>
      </c>
      <c r="M98" s="41">
        <f>IF(6=$D98,IF($F98="완료","◆","◇"),"")</f>
        <v/>
      </c>
      <c r="N98" s="41">
        <f>IF(7=$D98,IF($F98="완료","◆","◇"),"")</f>
        <v/>
      </c>
      <c r="O98" s="41">
        <f>IF(8=$D98,IF($F98="완료","◆","◇"),"")</f>
        <v/>
      </c>
      <c r="P98" s="41">
        <f>IF(9=$D98,IF($F98="완료","◆","◇"),"")</f>
        <v/>
      </c>
      <c r="Q98" s="41">
        <f>IF(10=$D98,IF($F98="완료","◆","◇"),"")</f>
        <v/>
      </c>
      <c r="R98" s="41">
        <f>IF(11=$D98,IF($F98="완료","◆","◇"),"")</f>
        <v/>
      </c>
      <c r="S98" s="41">
        <f>IF(12=$D98,IF($F98="완료","◆","◇"),"")</f>
        <v/>
      </c>
      <c r="T98" s="41">
        <f>IF(13=$D98,IF($F98="완료","◆","◇"),"")</f>
        <v/>
      </c>
      <c r="U98" s="41">
        <f>IF(14=$D98,IF($F98="완료","◆","◇"),"")</f>
        <v/>
      </c>
      <c r="V98" s="41">
        <f>IF(15=$D98,IF($F98="완료","◆","◇"),"")</f>
        <v/>
      </c>
    </row>
    <row r="99">
      <c r="A99" s="39" t="inlineStr">
        <is>
          <t>M7</t>
        </is>
      </c>
      <c r="B99" s="40" t="inlineStr">
        <is>
          <t>인도 — 재설치·시연·발표</t>
        </is>
      </c>
      <c r="C99" s="39" t="inlineStr">
        <is>
          <t>WBS 6.6</t>
        </is>
      </c>
      <c r="D99" s="39" t="n">
        <v>15</v>
      </c>
      <c r="E99" s="39" t="n">
        <v>15</v>
      </c>
      <c r="F99" s="39" t="inlineStr">
        <is>
          <t>대기</t>
        </is>
      </c>
      <c r="G99" s="39" t="n"/>
      <c r="H99" s="41">
        <f>IF(1=$D99,IF($F99="완료","◆","◇"),"")</f>
        <v/>
      </c>
      <c r="I99" s="41">
        <f>IF(2=$D99,IF($F99="완료","◆","◇"),"")</f>
        <v/>
      </c>
      <c r="J99" s="41">
        <f>IF(3=$D99,IF($F99="완료","◆","◇"),"")</f>
        <v/>
      </c>
      <c r="K99" s="41">
        <f>IF(4=$D99,IF($F99="완료","◆","◇"),"")</f>
        <v/>
      </c>
      <c r="L99" s="41">
        <f>IF(5=$D99,IF($F99="완료","◆","◇"),"")</f>
        <v/>
      </c>
      <c r="M99" s="41">
        <f>IF(6=$D99,IF($F99="완료","◆","◇"),"")</f>
        <v/>
      </c>
      <c r="N99" s="41">
        <f>IF(7=$D99,IF($F99="완료","◆","◇"),"")</f>
        <v/>
      </c>
      <c r="O99" s="41">
        <f>IF(8=$D99,IF($F99="완료","◆","◇"),"")</f>
        <v/>
      </c>
      <c r="P99" s="41">
        <f>IF(9=$D99,IF($F99="완료","◆","◇"),"")</f>
        <v/>
      </c>
      <c r="Q99" s="41">
        <f>IF(10=$D99,IF($F99="완료","◆","◇"),"")</f>
        <v/>
      </c>
      <c r="R99" s="41">
        <f>IF(11=$D99,IF($F99="완료","◆","◇"),"")</f>
        <v/>
      </c>
      <c r="S99" s="41">
        <f>IF(12=$D99,IF($F99="완료","◆","◇"),"")</f>
        <v/>
      </c>
      <c r="T99" s="41">
        <f>IF(13=$D99,IF($F99="완료","◆","◇"),"")</f>
        <v/>
      </c>
      <c r="U99" s="41">
        <f>IF(14=$D99,IF($F99="완료","◆","◇"),"")</f>
        <v/>
      </c>
      <c r="V99" s="41">
        <f>IF(15=$D99,IF($F99="완료","◆","◇"),"")</f>
        <v/>
      </c>
    </row>
  </sheetData>
  <mergeCells count="4">
    <mergeCell ref="A2:V2"/>
    <mergeCell ref="A1:V1"/>
    <mergeCell ref="A92:V92"/>
    <mergeCell ref="A4:G4"/>
  </mergeCells>
  <conditionalFormatting sqref="H5:V99">
    <cfRule type="cellIs" priority="1" operator="equal" dxfId="0">
      <formula>"●"</formula>
    </cfRule>
    <cfRule type="cellIs" priority="2" operator="equal" dxfId="1">
      <formula>"▶"</formula>
    </cfRule>
    <cfRule type="cellIs" priority="3" operator="equal" dxfId="2">
      <formula>"■"</formula>
    </cfRule>
    <cfRule type="cellIs" priority="4" operator="equal" dxfId="3">
      <formula>"◇"</formula>
    </cfRule>
    <cfRule type="cellIs" priority="5" operator="equal" dxfId="6">
      <formula>"."</formula>
    </cfRule>
    <cfRule type="cellIs" priority="6" operator="equal" dxfId="7">
      <formula>"◆"</formula>
    </cfRule>
  </conditionalFormatting>
  <conditionalFormatting sqref="H3:H99">
    <cfRule type="expression" priority="7" dxfId="8">
      <formula>AND(H$3=표지!$C$16,H3="")</formula>
    </cfRule>
  </conditionalFormatting>
  <conditionalFormatting sqref="I3:I99">
    <cfRule type="expression" priority="8" dxfId="8">
      <formula>AND(I$3=표지!$C$16,I3="")</formula>
    </cfRule>
  </conditionalFormatting>
  <conditionalFormatting sqref="J3:J99">
    <cfRule type="expression" priority="9" dxfId="8">
      <formula>AND(J$3=표지!$C$16,J3="")</formula>
    </cfRule>
  </conditionalFormatting>
  <conditionalFormatting sqref="K3:K99">
    <cfRule type="expression" priority="10" dxfId="8">
      <formula>AND(K$3=표지!$C$16,K3="")</formula>
    </cfRule>
  </conditionalFormatting>
  <conditionalFormatting sqref="L3:L99">
    <cfRule type="expression" priority="11" dxfId="8">
      <formula>AND(L$3=표지!$C$16,L3="")</formula>
    </cfRule>
  </conditionalFormatting>
  <conditionalFormatting sqref="M3:M99">
    <cfRule type="expression" priority="12" dxfId="8">
      <formula>AND(M$3=표지!$C$16,M3="")</formula>
    </cfRule>
  </conditionalFormatting>
  <conditionalFormatting sqref="N3:N99">
    <cfRule type="expression" priority="13" dxfId="8">
      <formula>AND(N$3=표지!$C$16,N3="")</formula>
    </cfRule>
  </conditionalFormatting>
  <conditionalFormatting sqref="O3:O99">
    <cfRule type="expression" priority="14" dxfId="8">
      <formula>AND(O$3=표지!$C$16,O3="")</formula>
    </cfRule>
  </conditionalFormatting>
  <conditionalFormatting sqref="P3:P99">
    <cfRule type="expression" priority="15" dxfId="8">
      <formula>AND(P$3=표지!$C$16,P3="")</formula>
    </cfRule>
  </conditionalFormatting>
  <conditionalFormatting sqref="Q3:Q99">
    <cfRule type="expression" priority="16" dxfId="8">
      <formula>AND(Q$3=표지!$C$16,Q3="")</formula>
    </cfRule>
  </conditionalFormatting>
  <conditionalFormatting sqref="R3:R99">
    <cfRule type="expression" priority="17" dxfId="8">
      <formula>AND(R$3=표지!$C$16,R3="")</formula>
    </cfRule>
  </conditionalFormatting>
  <conditionalFormatting sqref="S3:S99">
    <cfRule type="expression" priority="18" dxfId="8">
      <formula>AND(S$3=표지!$C$16,S3="")</formula>
    </cfRule>
  </conditionalFormatting>
  <conditionalFormatting sqref="T3:T99">
    <cfRule type="expression" priority="19" dxfId="8">
      <formula>AND(T$3=표지!$C$16,T3="")</formula>
    </cfRule>
  </conditionalFormatting>
  <conditionalFormatting sqref="U3:U99">
    <cfRule type="expression" priority="20" dxfId="8">
      <formula>AND(U$3=표지!$C$16,U3="")</formula>
    </cfRule>
  </conditionalFormatting>
  <conditionalFormatting sqref="V3:V99">
    <cfRule type="expression" priority="21" dxfId="8">
      <formula>AND(V$3=표지!$C$16,V3="")</formula>
    </cfRule>
  </conditionalFormatting>
  <conditionalFormatting sqref="F5:F99">
    <cfRule type="cellIs" priority="22" operator="equal" dxfId="0">
      <formula>"완료"</formula>
    </cfRule>
    <cfRule type="cellIs" priority="23" operator="equal" dxfId="1">
      <formula>"진행중"</formula>
    </cfRule>
    <cfRule type="cellIs" priority="24" operator="equal" dxfId="2">
      <formula>"대기"</formula>
    </cfRule>
    <cfRule type="cellIs" priority="25" operator="equal" dxfId="3">
      <formula>"보류"</formula>
    </cfRule>
    <cfRule type="cellIs" priority="26" operator="equal" dxfId="4">
      <formula>"제외"</formula>
    </cfRule>
  </conditionalFormatting>
  <printOptions gridLines="0"/>
  <pageMargins left="0.35" right="0.35" top="0.55" bottom="0.45" header="0.2" footer="0.2"/>
  <pageSetup orientation="landscape" paperSize="9" fitToHeight="0" fitToWidth="1"/>
  <headerFooter>
    <oddHeader>&amp;L&amp;8간트&amp;R&amp;8Signal Guard WBS v1.0</oddHeader>
    <oddFooter>&amp;L&amp;8실시간 교통신호 상태정보 오류검지 시스템 · 2026-09-12&amp;R&amp;8&amp;P / &amp;N</oddFooter>
    <evenHeader/>
    <evenFooter/>
    <firstHeader/>
    <firstFooter/>
  </headerFooter>
</worksheet>
</file>

<file path=xl/worksheets/sheet3.xml><?xml version="1.0" encoding="utf-8"?>
<worksheet xmlns="http://schemas.openxmlformats.org/spreadsheetml/2006/main">
  <sheetPr>
    <tabColor rgb="003D6B4F"/>
    <outlinePr summaryBelow="1" summaryRight="1"/>
    <pageSetUpPr fitToPage="1"/>
  </sheetPr>
  <dimension ref="B1:N70"/>
  <sheetViews>
    <sheetView showGridLines="0" workbookViewId="0">
      <selection activeCell="A1" sqref="A1"/>
    </sheetView>
  </sheetViews>
  <sheetFormatPr baseColWidth="8" defaultRowHeight="15"/>
  <cols>
    <col width="3" customWidth="1" min="1" max="1"/>
    <col width="16" customWidth="1" min="2" max="2"/>
    <col width="12" customWidth="1" min="3" max="3"/>
    <col width="12" customWidth="1" min="4" max="4"/>
    <col width="11" customWidth="1" min="5" max="5"/>
    <col width="9" customWidth="1" min="6" max="6"/>
    <col width="9" customWidth="1" min="7" max="7"/>
    <col width="3" customWidth="1" min="8" max="8"/>
    <col width="13" customWidth="1" min="9" max="9"/>
    <col width="13" customWidth="1" min="10" max="10"/>
    <col width="13" customWidth="1" min="11" max="11"/>
    <col width="13" customWidth="1" min="12" max="12"/>
    <col width="13" customWidth="1" min="13" max="13"/>
    <col width="13" customWidth="1" min="14" max="14"/>
  </cols>
  <sheetData>
    <row r="1" ht="26" customHeight="1">
      <c r="B1" s="1" t="inlineStr">
        <is>
          <t>WBS 요약 · 인일 집계</t>
        </is>
      </c>
    </row>
    <row r="3">
      <c r="B3" s="42" t="inlineStr">
        <is>
          <t>확정 계획 인일</t>
        </is>
      </c>
      <c r="C3" s="42" t="inlineStr">
        <is>
          <t>획득 인일</t>
        </is>
      </c>
      <c r="D3" s="42" t="inlineStr">
        <is>
          <t>진척률</t>
        </is>
      </c>
      <c r="E3" s="42" t="inlineStr">
        <is>
          <t>작업패키지</t>
        </is>
      </c>
      <c r="F3" s="42" t="inlineStr">
        <is>
          <t>완료</t>
        </is>
      </c>
      <c r="G3" s="42" t="inlineStr">
        <is>
          <t>현재 주차</t>
        </is>
      </c>
    </row>
    <row r="4" ht="30" customHeight="1">
      <c r="B4" s="43">
        <f>D14</f>
        <v/>
      </c>
      <c r="C4" s="43">
        <f>E14</f>
        <v/>
      </c>
      <c r="D4" s="44">
        <f>F14</f>
        <v/>
      </c>
      <c r="E4" s="45">
        <f>COUNTIFS(WBS!$B$5:$B$90,"작업")</f>
        <v/>
      </c>
      <c r="F4" s="45">
        <f>COUNTIFS(WBS!$B$5:$B$90,"작업",WBS!$O$5:$O$90,"완료")</f>
        <v/>
      </c>
      <c r="G4" s="46">
        <f>표지!C16</f>
        <v/>
      </c>
    </row>
    <row r="6">
      <c r="B6" s="38" t="inlineStr">
        <is>
          <t>단계별 집계</t>
        </is>
      </c>
    </row>
    <row r="7" ht="24" customHeight="1">
      <c r="B7" s="3" t="inlineStr">
        <is>
          <t>단계</t>
        </is>
      </c>
      <c r="C7" s="3" t="inlineStr">
        <is>
          <t>작업패키지</t>
        </is>
      </c>
      <c r="D7" s="3" t="inlineStr">
        <is>
          <t>계획 인일</t>
        </is>
      </c>
      <c r="E7" s="3" t="inlineStr">
        <is>
          <t>획득 인일</t>
        </is>
      </c>
      <c r="F7" s="3" t="inlineStr">
        <is>
          <t>진척률</t>
        </is>
      </c>
      <c r="G7" s="3" t="inlineStr">
        <is>
          <t>시작주</t>
        </is>
      </c>
      <c r="H7" s="3" t="inlineStr">
        <is>
          <t>종료주</t>
        </is>
      </c>
    </row>
    <row r="8">
      <c r="B8" s="47" t="inlineStr">
        <is>
          <t>프로젝트 관리</t>
        </is>
      </c>
      <c r="C8" s="48">
        <f>COUNTIFS(WBS!$B$5:$B$90,"작업",WBS!$D$5:$D$90,$B8,WBS!$O$5:$O$90,"&lt;&gt;제외",WBS!$O$5:$O$90,"&lt;&gt;보류")</f>
        <v/>
      </c>
      <c r="D8" s="49">
        <f>SUMIFS(WBS!$F$5:$F$90,WBS!$B$5:$B$90,"작업",WBS!$D$5:$D$90,$B8,WBS!$O$5:$O$90,"&lt;&gt;제외",WBS!$O$5:$O$90,"&lt;&gt;보류")</f>
        <v/>
      </c>
      <c r="E8" s="49">
        <f>SUMIFS(WBS!$Q$5:$Q$90,WBS!$B$5:$B$90,"작업",WBS!$D$5:$D$90,$B8,WBS!$O$5:$O$90,"&lt;&gt;제외",WBS!$O$5:$O$90,"&lt;&gt;보류")</f>
        <v/>
      </c>
      <c r="F8" s="50">
        <f>IF(D8=0,0,E8/D8)</f>
        <v/>
      </c>
      <c r="G8" s="48">
        <f>WBS!G5</f>
        <v/>
      </c>
      <c r="H8" s="48">
        <f>WBS!H5</f>
        <v/>
      </c>
    </row>
    <row r="9">
      <c r="B9" s="13" t="inlineStr">
        <is>
          <t>분석</t>
        </is>
      </c>
      <c r="C9" s="9">
        <f>COUNTIFS(WBS!$B$5:$B$90,"작업",WBS!$D$5:$D$90,$B9,WBS!$O$5:$O$90,"&lt;&gt;제외",WBS!$O$5:$O$90,"&lt;&gt;보류")</f>
        <v/>
      </c>
      <c r="D9" s="11">
        <f>SUMIFS(WBS!$F$5:$F$90,WBS!$B$5:$B$90,"작업",WBS!$D$5:$D$90,$B9,WBS!$O$5:$O$90,"&lt;&gt;제외",WBS!$O$5:$O$90,"&lt;&gt;보류")</f>
        <v/>
      </c>
      <c r="E9" s="11">
        <f>SUMIFS(WBS!$Q$5:$Q$90,WBS!$B$5:$B$90,"작업",WBS!$D$5:$D$90,$B9,WBS!$O$5:$O$90,"&lt;&gt;제외",WBS!$O$5:$O$90,"&lt;&gt;보류")</f>
        <v/>
      </c>
      <c r="F9" s="14">
        <f>IF(D9=0,0,E9/D9)</f>
        <v/>
      </c>
      <c r="G9" s="9">
        <f>WBS!G10</f>
        <v/>
      </c>
      <c r="H9" s="9">
        <f>WBS!H10</f>
        <v/>
      </c>
    </row>
    <row r="10">
      <c r="B10" s="47" t="inlineStr">
        <is>
          <t>설계</t>
        </is>
      </c>
      <c r="C10" s="48">
        <f>COUNTIFS(WBS!$B$5:$B$90,"작업",WBS!$D$5:$D$90,$B10,WBS!$O$5:$O$90,"&lt;&gt;제외",WBS!$O$5:$O$90,"&lt;&gt;보류")</f>
        <v/>
      </c>
      <c r="D10" s="49">
        <f>SUMIFS(WBS!$F$5:$F$90,WBS!$B$5:$B$90,"작업",WBS!$D$5:$D$90,$B10,WBS!$O$5:$O$90,"&lt;&gt;제외",WBS!$O$5:$O$90,"&lt;&gt;보류")</f>
        <v/>
      </c>
      <c r="E10" s="49">
        <f>SUMIFS(WBS!$Q$5:$Q$90,WBS!$B$5:$B$90,"작업",WBS!$D$5:$D$90,$B10,WBS!$O$5:$O$90,"&lt;&gt;제외",WBS!$O$5:$O$90,"&lt;&gt;보류")</f>
        <v/>
      </c>
      <c r="F10" s="50">
        <f>IF(D10=0,0,E10/D10)</f>
        <v/>
      </c>
      <c r="G10" s="48">
        <f>WBS!G16</f>
        <v/>
      </c>
      <c r="H10" s="48">
        <f>WBS!H16</f>
        <v/>
      </c>
    </row>
    <row r="11">
      <c r="B11" s="13" t="inlineStr">
        <is>
          <t>구현</t>
        </is>
      </c>
      <c r="C11" s="9">
        <f>COUNTIFS(WBS!$B$5:$B$90,"작업",WBS!$D$5:$D$90,$B11,WBS!$O$5:$O$90,"&lt;&gt;제외",WBS!$O$5:$O$90,"&lt;&gt;보류")</f>
        <v/>
      </c>
      <c r="D11" s="11">
        <f>SUMIFS(WBS!$F$5:$F$90,WBS!$B$5:$B$90,"작업",WBS!$D$5:$D$90,$B11,WBS!$O$5:$O$90,"&lt;&gt;제외",WBS!$O$5:$O$90,"&lt;&gt;보류")</f>
        <v/>
      </c>
      <c r="E11" s="11">
        <f>SUMIFS(WBS!$Q$5:$Q$90,WBS!$B$5:$B$90,"작업",WBS!$D$5:$D$90,$B11,WBS!$O$5:$O$90,"&lt;&gt;제외",WBS!$O$5:$O$90,"&lt;&gt;보류")</f>
        <v/>
      </c>
      <c r="F11" s="14">
        <f>IF(D11=0,0,E11/D11)</f>
        <v/>
      </c>
      <c r="G11" s="9">
        <f>WBS!G25</f>
        <v/>
      </c>
      <c r="H11" s="9">
        <f>WBS!H25</f>
        <v/>
      </c>
    </row>
    <row r="12">
      <c r="B12" s="47" t="inlineStr">
        <is>
          <t>테스트</t>
        </is>
      </c>
      <c r="C12" s="48">
        <f>COUNTIFS(WBS!$B$5:$B$90,"작업",WBS!$D$5:$D$90,$B12,WBS!$O$5:$O$90,"&lt;&gt;제외",WBS!$O$5:$O$90,"&lt;&gt;보류")</f>
        <v/>
      </c>
      <c r="D12" s="49">
        <f>SUMIFS(WBS!$F$5:$F$90,WBS!$B$5:$B$90,"작업",WBS!$D$5:$D$90,$B12,WBS!$O$5:$O$90,"&lt;&gt;제외",WBS!$O$5:$O$90,"&lt;&gt;보류")</f>
        <v/>
      </c>
      <c r="E12" s="49">
        <f>SUMIFS(WBS!$Q$5:$Q$90,WBS!$B$5:$B$90,"작업",WBS!$D$5:$D$90,$B12,WBS!$O$5:$O$90,"&lt;&gt;제외",WBS!$O$5:$O$90,"&lt;&gt;보류")</f>
        <v/>
      </c>
      <c r="F12" s="50">
        <f>IF(D12=0,0,E12/D12)</f>
        <v/>
      </c>
      <c r="G12" s="48">
        <f>WBS!G76</f>
        <v/>
      </c>
      <c r="H12" s="48">
        <f>WBS!H76</f>
        <v/>
      </c>
    </row>
    <row r="13">
      <c r="B13" s="13" t="inlineStr">
        <is>
          <t>안정화·인도</t>
        </is>
      </c>
      <c r="C13" s="9">
        <f>COUNTIFS(WBS!$B$5:$B$90,"작업",WBS!$D$5:$D$90,$B13,WBS!$O$5:$O$90,"&lt;&gt;제외",WBS!$O$5:$O$90,"&lt;&gt;보류")</f>
        <v/>
      </c>
      <c r="D13" s="11">
        <f>SUMIFS(WBS!$F$5:$F$90,WBS!$B$5:$B$90,"작업",WBS!$D$5:$D$90,$B13,WBS!$O$5:$O$90,"&lt;&gt;제외",WBS!$O$5:$O$90,"&lt;&gt;보류")</f>
        <v/>
      </c>
      <c r="E13" s="11">
        <f>SUMIFS(WBS!$Q$5:$Q$90,WBS!$B$5:$B$90,"작업",WBS!$D$5:$D$90,$B13,WBS!$O$5:$O$90,"&lt;&gt;제외",WBS!$O$5:$O$90,"&lt;&gt;보류")</f>
        <v/>
      </c>
      <c r="F13" s="14">
        <f>IF(D13=0,0,E13/D13)</f>
        <v/>
      </c>
      <c r="G13" s="9">
        <f>WBS!G84</f>
        <v/>
      </c>
      <c r="H13" s="9">
        <f>WBS!H84</f>
        <v/>
      </c>
    </row>
    <row r="14">
      <c r="B14" s="51" t="inlineStr">
        <is>
          <t>합계</t>
        </is>
      </c>
      <c r="C14" s="52">
        <f>SUM(C8:C13)</f>
        <v/>
      </c>
      <c r="D14" s="53">
        <f>SUM(D8:D13)</f>
        <v/>
      </c>
      <c r="E14" s="53">
        <f>SUM(E8:E13)</f>
        <v/>
      </c>
      <c r="F14" s="54">
        <f>IF(D14=0,0,E14/D14)</f>
        <v/>
      </c>
      <c r="G14" s="52" t="n">
        <v>1</v>
      </c>
      <c r="H14" s="52" t="n">
        <v>15</v>
      </c>
    </row>
    <row r="16">
      <c r="B16" s="38" t="inlineStr">
        <is>
          <t>담당별 부하 (작업패키지 인일)</t>
        </is>
      </c>
    </row>
    <row r="17" ht="24" customHeight="1">
      <c r="B17" s="3" t="inlineStr">
        <is>
          <t>담당</t>
        </is>
      </c>
      <c r="C17" s="3" t="inlineStr">
        <is>
          <t>작업패키지</t>
        </is>
      </c>
      <c r="D17" s="3" t="inlineStr">
        <is>
          <t>계획 인일</t>
        </is>
      </c>
      <c r="E17" s="3" t="inlineStr">
        <is>
          <t>획득 인일</t>
        </is>
      </c>
      <c r="F17" s="3" t="inlineStr">
        <is>
          <t>진척률</t>
        </is>
      </c>
      <c r="G17" s="3" t="inlineStr">
        <is>
          <t>비중</t>
        </is>
      </c>
    </row>
    <row r="18">
      <c r="B18" s="13" t="inlineStr">
        <is>
          <t>조찬희</t>
        </is>
      </c>
      <c r="C18" s="9">
        <f>COUNTIFS(WBS!$B$5:$B$90,"작업",WBS!$K$5:$K$90,$B18,WBS!$O$5:$O$90,"&lt;&gt;제외",WBS!$O$5:$O$90,"&lt;&gt;보류")</f>
        <v/>
      </c>
      <c r="D18" s="11">
        <f>SUMIFS(WBS!$F$5:$F$90,WBS!$B$5:$B$90,"작업",WBS!$K$5:$K$90,$B18,WBS!$O$5:$O$90,"&lt;&gt;제외",WBS!$O$5:$O$90,"&lt;&gt;보류")</f>
        <v/>
      </c>
      <c r="E18" s="11">
        <f>SUMIFS(WBS!$Q$5:$Q$90,WBS!$B$5:$B$90,"작업",WBS!$K$5:$K$90,$B18,WBS!$O$5:$O$90,"&lt;&gt;제외",WBS!$O$5:$O$90,"&lt;&gt;보류")</f>
        <v/>
      </c>
      <c r="F18" s="14">
        <f>IF(D18=0,0,E18/D18)</f>
        <v/>
      </c>
      <c r="G18" s="14">
        <f>IF($D$21=0,0,D18/$D$21)</f>
        <v/>
      </c>
    </row>
    <row r="19">
      <c r="B19" s="13" t="inlineStr">
        <is>
          <t>기경현</t>
        </is>
      </c>
      <c r="C19" s="9">
        <f>COUNTIFS(WBS!$B$5:$B$90,"작업",WBS!$K$5:$K$90,$B19,WBS!$O$5:$O$90,"&lt;&gt;제외",WBS!$O$5:$O$90,"&lt;&gt;보류")</f>
        <v/>
      </c>
      <c r="D19" s="11">
        <f>SUMIFS(WBS!$F$5:$F$90,WBS!$B$5:$B$90,"작업",WBS!$K$5:$K$90,$B19,WBS!$O$5:$O$90,"&lt;&gt;제외",WBS!$O$5:$O$90,"&lt;&gt;보류")</f>
        <v/>
      </c>
      <c r="E19" s="11">
        <f>SUMIFS(WBS!$Q$5:$Q$90,WBS!$B$5:$B$90,"작업",WBS!$K$5:$K$90,$B19,WBS!$O$5:$O$90,"&lt;&gt;제외",WBS!$O$5:$O$90,"&lt;&gt;보류")</f>
        <v/>
      </c>
      <c r="F19" s="14">
        <f>IF(D19=0,0,E19/D19)</f>
        <v/>
      </c>
      <c r="G19" s="14">
        <f>IF($D$21=0,0,D19/$D$21)</f>
        <v/>
      </c>
    </row>
    <row r="20">
      <c r="B20" s="13" t="inlineStr">
        <is>
          <t>공동</t>
        </is>
      </c>
      <c r="C20" s="9">
        <f>COUNTIFS(WBS!$B$5:$B$90,"작업",WBS!$K$5:$K$90,$B20,WBS!$O$5:$O$90,"&lt;&gt;제외",WBS!$O$5:$O$90,"&lt;&gt;보류")</f>
        <v/>
      </c>
      <c r="D20" s="11">
        <f>SUMIFS(WBS!$F$5:$F$90,WBS!$B$5:$B$90,"작업",WBS!$K$5:$K$90,$B20,WBS!$O$5:$O$90,"&lt;&gt;제외",WBS!$O$5:$O$90,"&lt;&gt;보류")</f>
        <v/>
      </c>
      <c r="E20" s="11">
        <f>SUMIFS(WBS!$Q$5:$Q$90,WBS!$B$5:$B$90,"작업",WBS!$K$5:$K$90,$B20,WBS!$O$5:$O$90,"&lt;&gt;제외",WBS!$O$5:$O$90,"&lt;&gt;보류")</f>
        <v/>
      </c>
      <c r="F20" s="14">
        <f>IF(D20=0,0,E20/D20)</f>
        <v/>
      </c>
      <c r="G20" s="14">
        <f>IF($D$21=0,0,D20/$D$21)</f>
        <v/>
      </c>
    </row>
    <row r="21">
      <c r="B21" s="51" t="inlineStr">
        <is>
          <t>합계</t>
        </is>
      </c>
      <c r="C21" s="52">
        <f>SUM(C18:C20)</f>
        <v/>
      </c>
      <c r="D21" s="53">
        <f>SUM(D18:D20)</f>
        <v/>
      </c>
      <c r="E21" s="53">
        <f>SUM(E18:E20)</f>
        <v/>
      </c>
      <c r="F21" s="54">
        <f>IF(D21=0,0,E21/D21)</f>
        <v/>
      </c>
      <c r="G21" s="54" t="n">
        <v>1</v>
      </c>
    </row>
    <row r="23">
      <c r="B23" s="38" t="inlineStr">
        <is>
          <t>구현 활동별 (4.1~4.8)</t>
        </is>
      </c>
    </row>
    <row r="24" ht="24" customHeight="1">
      <c r="B24" s="3" t="inlineStr">
        <is>
          <t>활동</t>
        </is>
      </c>
      <c r="C24" s="3" t="inlineStr">
        <is>
          <t>작업패키지</t>
        </is>
      </c>
      <c r="D24" s="3" t="inlineStr">
        <is>
          <t>계획 인일</t>
        </is>
      </c>
      <c r="E24" s="3" t="inlineStr">
        <is>
          <t>획득 인일</t>
        </is>
      </c>
      <c r="F24" s="3" t="inlineStr">
        <is>
          <t>진척률</t>
        </is>
      </c>
    </row>
    <row r="25">
      <c r="B25" s="47" t="inlineStr">
        <is>
          <t>기반 환경 (S1–S2)</t>
        </is>
      </c>
      <c r="C25" s="48">
        <f>COUNTIFS(WBS!$B$5:$B$90,"작업",WBS!$E$5:$E$90,$B25,WBS!$O$5:$O$90,"&lt;&gt;제외",WBS!$O$5:$O$90,"&lt;&gt;보류")</f>
        <v/>
      </c>
      <c r="D25" s="49">
        <f>SUMIFS(WBS!$F$5:$F$90,WBS!$B$5:$B$90,"작업",WBS!$E$5:$E$90,$B25,WBS!$O$5:$O$90,"&lt;&gt;제외",WBS!$O$5:$O$90,"&lt;&gt;보류")</f>
        <v/>
      </c>
      <c r="E25" s="49">
        <f>SUMIFS(WBS!$Q$5:$Q$90,WBS!$B$5:$B$90,"작업",WBS!$E$5:$E$90,$B25,WBS!$O$5:$O$90,"&lt;&gt;제외",WBS!$O$5:$O$90,"&lt;&gt;보류")</f>
        <v/>
      </c>
      <c r="F25" s="50">
        <f>IF(D25=0,0,E25/D25)</f>
        <v/>
      </c>
    </row>
    <row r="26">
      <c r="B26" s="13" t="inlineStr">
        <is>
          <t>수집 (S2–S3)</t>
        </is>
      </c>
      <c r="C26" s="9">
        <f>COUNTIFS(WBS!$B$5:$B$90,"작업",WBS!$E$5:$E$90,$B26,WBS!$O$5:$O$90,"&lt;&gt;제외",WBS!$O$5:$O$90,"&lt;&gt;보류")</f>
        <v/>
      </c>
      <c r="D26" s="11">
        <f>SUMIFS(WBS!$F$5:$F$90,WBS!$B$5:$B$90,"작업",WBS!$E$5:$E$90,$B26,WBS!$O$5:$O$90,"&lt;&gt;제외",WBS!$O$5:$O$90,"&lt;&gt;보류")</f>
        <v/>
      </c>
      <c r="E26" s="11">
        <f>SUMIFS(WBS!$Q$5:$Q$90,WBS!$B$5:$B$90,"작업",WBS!$E$5:$E$90,$B26,WBS!$O$5:$O$90,"&lt;&gt;제외",WBS!$O$5:$O$90,"&lt;&gt;보류")</f>
        <v/>
      </c>
      <c r="F26" s="14">
        <f>IF(D26=0,0,E26/D26)</f>
        <v/>
      </c>
    </row>
    <row r="27">
      <c r="B27" s="47" t="inlineStr">
        <is>
          <t>계획 (S2–S3, S5)</t>
        </is>
      </c>
      <c r="C27" s="48">
        <f>COUNTIFS(WBS!$B$5:$B$90,"작업",WBS!$E$5:$E$90,$B27,WBS!$O$5:$O$90,"&lt;&gt;제외",WBS!$O$5:$O$90,"&lt;&gt;보류")</f>
        <v/>
      </c>
      <c r="D27" s="49">
        <f>SUMIFS(WBS!$F$5:$F$90,WBS!$B$5:$B$90,"작업",WBS!$E$5:$E$90,$B27,WBS!$O$5:$O$90,"&lt;&gt;제외",WBS!$O$5:$O$90,"&lt;&gt;보류")</f>
        <v/>
      </c>
      <c r="E27" s="49">
        <f>SUMIFS(WBS!$Q$5:$Q$90,WBS!$B$5:$B$90,"작업",WBS!$E$5:$E$90,$B27,WBS!$O$5:$O$90,"&lt;&gt;제외",WBS!$O$5:$O$90,"&lt;&gt;보류")</f>
        <v/>
      </c>
      <c r="F27" s="50">
        <f>IF(D27=0,0,E27/D27)</f>
        <v/>
      </c>
    </row>
    <row r="28">
      <c r="B28" s="13" t="inlineStr">
        <is>
          <t>검지 (S3–S5)</t>
        </is>
      </c>
      <c r="C28" s="9">
        <f>COUNTIFS(WBS!$B$5:$B$90,"작업",WBS!$E$5:$E$90,$B28,WBS!$O$5:$O$90,"&lt;&gt;제외",WBS!$O$5:$O$90,"&lt;&gt;보류")</f>
        <v/>
      </c>
      <c r="D28" s="11">
        <f>SUMIFS(WBS!$F$5:$F$90,WBS!$B$5:$B$90,"작업",WBS!$E$5:$E$90,$B28,WBS!$O$5:$O$90,"&lt;&gt;제외",WBS!$O$5:$O$90,"&lt;&gt;보류")</f>
        <v/>
      </c>
      <c r="E28" s="11">
        <f>SUMIFS(WBS!$Q$5:$Q$90,WBS!$B$5:$B$90,"작업",WBS!$E$5:$E$90,$B28,WBS!$O$5:$O$90,"&lt;&gt;제외",WBS!$O$5:$O$90,"&lt;&gt;보류")</f>
        <v/>
      </c>
      <c r="F28" s="14">
        <f>IF(D28=0,0,E28/D28)</f>
        <v/>
      </c>
    </row>
    <row r="29">
      <c r="B29" s="47" t="inlineStr">
        <is>
          <t>관제 (S4–S6)</t>
        </is>
      </c>
      <c r="C29" s="48">
        <f>COUNTIFS(WBS!$B$5:$B$90,"작업",WBS!$E$5:$E$90,$B29,WBS!$O$5:$O$90,"&lt;&gt;제외",WBS!$O$5:$O$90,"&lt;&gt;보류")</f>
        <v/>
      </c>
      <c r="D29" s="49">
        <f>SUMIFS(WBS!$F$5:$F$90,WBS!$B$5:$B$90,"작업",WBS!$E$5:$E$90,$B29,WBS!$O$5:$O$90,"&lt;&gt;제외",WBS!$O$5:$O$90,"&lt;&gt;보류")</f>
        <v/>
      </c>
      <c r="E29" s="49">
        <f>SUMIFS(WBS!$Q$5:$Q$90,WBS!$B$5:$B$90,"작업",WBS!$E$5:$E$90,$B29,WBS!$O$5:$O$90,"&lt;&gt;제외",WBS!$O$5:$O$90,"&lt;&gt;보류")</f>
        <v/>
      </c>
      <c r="F29" s="50">
        <f>IF(D29=0,0,E29/D29)</f>
        <v/>
      </c>
    </row>
    <row r="30">
      <c r="B30" s="13" t="inlineStr">
        <is>
          <t>통제 (S5–S6)</t>
        </is>
      </c>
      <c r="C30" s="9">
        <f>COUNTIFS(WBS!$B$5:$B$90,"작업",WBS!$E$5:$E$90,$B30,WBS!$O$5:$O$90,"&lt;&gt;제외",WBS!$O$5:$O$90,"&lt;&gt;보류")</f>
        <v/>
      </c>
      <c r="D30" s="11">
        <f>SUMIFS(WBS!$F$5:$F$90,WBS!$B$5:$B$90,"작업",WBS!$E$5:$E$90,$B30,WBS!$O$5:$O$90,"&lt;&gt;제외",WBS!$O$5:$O$90,"&lt;&gt;보류")</f>
        <v/>
      </c>
      <c r="E30" s="11">
        <f>SUMIFS(WBS!$Q$5:$Q$90,WBS!$B$5:$B$90,"작업",WBS!$E$5:$E$90,$B30,WBS!$O$5:$O$90,"&lt;&gt;제외",WBS!$O$5:$O$90,"&lt;&gt;보류")</f>
        <v/>
      </c>
      <c r="F30" s="14">
        <f>IF(D30=0,0,E30/D30)</f>
        <v/>
      </c>
    </row>
    <row r="31">
      <c r="B31" s="47" t="inlineStr">
        <is>
          <t>통계 (S5–S6)</t>
        </is>
      </c>
      <c r="C31" s="48">
        <f>COUNTIFS(WBS!$B$5:$B$90,"작업",WBS!$E$5:$E$90,$B31,WBS!$O$5:$O$90,"&lt;&gt;제외",WBS!$O$5:$O$90,"&lt;&gt;보류")</f>
        <v/>
      </c>
      <c r="D31" s="49">
        <f>SUMIFS(WBS!$F$5:$F$90,WBS!$B$5:$B$90,"작업",WBS!$E$5:$E$90,$B31,WBS!$O$5:$O$90,"&lt;&gt;제외",WBS!$O$5:$O$90,"&lt;&gt;보류")</f>
        <v/>
      </c>
      <c r="E31" s="49">
        <f>SUMIFS(WBS!$Q$5:$Q$90,WBS!$B$5:$B$90,"작업",WBS!$E$5:$E$90,$B31,WBS!$O$5:$O$90,"&lt;&gt;제외",WBS!$O$5:$O$90,"&lt;&gt;보류")</f>
        <v/>
      </c>
      <c r="F31" s="50">
        <f>IF(D31=0,0,E31/D31)</f>
        <v/>
      </c>
    </row>
    <row r="32">
      <c r="B32" s="13" t="inlineStr">
        <is>
          <t>계정·설정 (S2, S4–S5)</t>
        </is>
      </c>
      <c r="C32" s="9">
        <f>COUNTIFS(WBS!$B$5:$B$90,"작업",WBS!$E$5:$E$90,$B32,WBS!$O$5:$O$90,"&lt;&gt;제외",WBS!$O$5:$O$90,"&lt;&gt;보류")</f>
        <v/>
      </c>
      <c r="D32" s="11">
        <f>SUMIFS(WBS!$F$5:$F$90,WBS!$B$5:$B$90,"작업",WBS!$E$5:$E$90,$B32,WBS!$O$5:$O$90,"&lt;&gt;제외",WBS!$O$5:$O$90,"&lt;&gt;보류")</f>
        <v/>
      </c>
      <c r="E32" s="11">
        <f>SUMIFS(WBS!$Q$5:$Q$90,WBS!$B$5:$B$90,"작업",WBS!$E$5:$E$90,$B32,WBS!$O$5:$O$90,"&lt;&gt;제외",WBS!$O$5:$O$90,"&lt;&gt;보류")</f>
        <v/>
      </c>
      <c r="F32" s="14">
        <f>IF(D32=0,0,E32/D32)</f>
        <v/>
      </c>
    </row>
    <row r="34">
      <c r="B34" s="38" t="inlineStr">
        <is>
          <t>주차별 인일 부하 (기간에 균등 배분)</t>
        </is>
      </c>
    </row>
    <row r="35" ht="24" customHeight="1">
      <c r="B35" s="3" t="inlineStr">
        <is>
          <t>주차</t>
        </is>
      </c>
      <c r="C35" s="3" t="inlineStr">
        <is>
          <t>계획 인일</t>
        </is>
      </c>
      <c r="D35" s="3" t="inlineStr">
        <is>
          <t>팀 가용</t>
        </is>
      </c>
      <c r="E35" s="3" t="inlineStr">
        <is>
          <t>여유</t>
        </is>
      </c>
      <c r="F35" s="3" t="inlineStr">
        <is>
          <t>판정</t>
        </is>
      </c>
    </row>
    <row r="36">
      <c r="B36" s="55" t="n">
        <v>1</v>
      </c>
      <c r="C36" s="11">
        <f>SUMPRODUCT((WBS!$B$5:$B$90="작업")*(WBS!$O$5:$O$90&lt;&gt;"제외")*(WBS!$O$5:$O$90&lt;&gt;"보류")*(WBS!$G$5:$G$90&lt;=$B36)*(WBS!$H$5:$H$90&gt;=$B36)*WBS!$F$5:$F$90/(WBS!$H$5:$H$90-WBS!$G$5:$G$90+1))</f>
        <v/>
      </c>
      <c r="D36" s="11" t="n">
        <v>4</v>
      </c>
      <c r="E36" s="11">
        <f>D36-C36</f>
        <v/>
      </c>
      <c r="F36" s="9">
        <f>IF(C36&gt;D36,"초과",IF(C36&gt;D36*0.85,"빡빡","여유"))</f>
        <v/>
      </c>
    </row>
    <row r="37">
      <c r="B37" s="55" t="n">
        <v>2</v>
      </c>
      <c r="C37" s="11">
        <f>SUMPRODUCT((WBS!$B$5:$B$90="작업")*(WBS!$O$5:$O$90&lt;&gt;"제외")*(WBS!$O$5:$O$90&lt;&gt;"보류")*(WBS!$G$5:$G$90&lt;=$B37)*(WBS!$H$5:$H$90&gt;=$B37)*WBS!$F$5:$F$90/(WBS!$H$5:$H$90-WBS!$G$5:$G$90+1))</f>
        <v/>
      </c>
      <c r="D37" s="11" t="n">
        <v>4</v>
      </c>
      <c r="E37" s="11">
        <f>D37-C37</f>
        <v/>
      </c>
      <c r="F37" s="9">
        <f>IF(C37&gt;D37,"초과",IF(C37&gt;D37*0.85,"빡빡","여유"))</f>
        <v/>
      </c>
    </row>
    <row r="38">
      <c r="B38" s="55" t="n">
        <v>3</v>
      </c>
      <c r="C38" s="11">
        <f>SUMPRODUCT((WBS!$B$5:$B$90="작업")*(WBS!$O$5:$O$90&lt;&gt;"제외")*(WBS!$O$5:$O$90&lt;&gt;"보류")*(WBS!$G$5:$G$90&lt;=$B38)*(WBS!$H$5:$H$90&gt;=$B38)*WBS!$F$5:$F$90/(WBS!$H$5:$H$90-WBS!$G$5:$G$90+1))</f>
        <v/>
      </c>
      <c r="D38" s="11" t="n">
        <v>4</v>
      </c>
      <c r="E38" s="11">
        <f>D38-C38</f>
        <v/>
      </c>
      <c r="F38" s="9">
        <f>IF(C38&gt;D38,"초과",IF(C38&gt;D38*0.85,"빡빡","여유"))</f>
        <v/>
      </c>
    </row>
    <row r="39">
      <c r="B39" s="55" t="n">
        <v>4</v>
      </c>
      <c r="C39" s="11">
        <f>SUMPRODUCT((WBS!$B$5:$B$90="작업")*(WBS!$O$5:$O$90&lt;&gt;"제외")*(WBS!$O$5:$O$90&lt;&gt;"보류")*(WBS!$G$5:$G$90&lt;=$B39)*(WBS!$H$5:$H$90&gt;=$B39)*WBS!$F$5:$F$90/(WBS!$H$5:$H$90-WBS!$G$5:$G$90+1))</f>
        <v/>
      </c>
      <c r="D39" s="11" t="n">
        <v>4</v>
      </c>
      <c r="E39" s="11">
        <f>D39-C39</f>
        <v/>
      </c>
      <c r="F39" s="9">
        <f>IF(C39&gt;D39,"초과",IF(C39&gt;D39*0.85,"빡빡","여유"))</f>
        <v/>
      </c>
    </row>
    <row r="40">
      <c r="B40" s="55" t="n">
        <v>5</v>
      </c>
      <c r="C40" s="11">
        <f>SUMPRODUCT((WBS!$B$5:$B$90="작업")*(WBS!$O$5:$O$90&lt;&gt;"제외")*(WBS!$O$5:$O$90&lt;&gt;"보류")*(WBS!$G$5:$G$90&lt;=$B40)*(WBS!$H$5:$H$90&gt;=$B40)*WBS!$F$5:$F$90/(WBS!$H$5:$H$90-WBS!$G$5:$G$90+1))</f>
        <v/>
      </c>
      <c r="D40" s="11" t="n">
        <v>4</v>
      </c>
      <c r="E40" s="11">
        <f>D40-C40</f>
        <v/>
      </c>
      <c r="F40" s="9">
        <f>IF(C40&gt;D40,"초과",IF(C40&gt;D40*0.85,"빡빡","여유"))</f>
        <v/>
      </c>
    </row>
    <row r="41">
      <c r="B41" s="55" t="n">
        <v>6</v>
      </c>
      <c r="C41" s="11">
        <f>SUMPRODUCT((WBS!$B$5:$B$90="작업")*(WBS!$O$5:$O$90&lt;&gt;"제외")*(WBS!$O$5:$O$90&lt;&gt;"보류")*(WBS!$G$5:$G$90&lt;=$B41)*(WBS!$H$5:$H$90&gt;=$B41)*WBS!$F$5:$F$90/(WBS!$H$5:$H$90-WBS!$G$5:$G$90+1))</f>
        <v/>
      </c>
      <c r="D41" s="11" t="n">
        <v>6</v>
      </c>
      <c r="E41" s="11">
        <f>D41-C41</f>
        <v/>
      </c>
      <c r="F41" s="9">
        <f>IF(C41&gt;D41,"초과",IF(C41&gt;D41*0.85,"빡빡","여유"))</f>
        <v/>
      </c>
    </row>
    <row r="42">
      <c r="B42" s="55" t="n">
        <v>7</v>
      </c>
      <c r="C42" s="11">
        <f>SUMPRODUCT((WBS!$B$5:$B$90="작업")*(WBS!$O$5:$O$90&lt;&gt;"제외")*(WBS!$O$5:$O$90&lt;&gt;"보류")*(WBS!$G$5:$G$90&lt;=$B42)*(WBS!$H$5:$H$90&gt;=$B42)*WBS!$F$5:$F$90/(WBS!$H$5:$H$90-WBS!$G$5:$G$90+1))</f>
        <v/>
      </c>
      <c r="D42" s="11" t="n">
        <v>6</v>
      </c>
      <c r="E42" s="11">
        <f>D42-C42</f>
        <v/>
      </c>
      <c r="F42" s="9">
        <f>IF(C42&gt;D42,"초과",IF(C42&gt;D42*0.85,"빡빡","여유"))</f>
        <v/>
      </c>
    </row>
    <row r="43">
      <c r="B43" s="55" t="n">
        <v>8</v>
      </c>
      <c r="C43" s="11">
        <f>SUMPRODUCT((WBS!$B$5:$B$90="작업")*(WBS!$O$5:$O$90&lt;&gt;"제외")*(WBS!$O$5:$O$90&lt;&gt;"보류")*(WBS!$G$5:$G$90&lt;=$B43)*(WBS!$H$5:$H$90&gt;=$B43)*WBS!$F$5:$F$90/(WBS!$H$5:$H$90-WBS!$G$5:$G$90+1))</f>
        <v/>
      </c>
      <c r="D43" s="11" t="n">
        <v>6</v>
      </c>
      <c r="E43" s="11">
        <f>D43-C43</f>
        <v/>
      </c>
      <c r="F43" s="9">
        <f>IF(C43&gt;D43,"초과",IF(C43&gt;D43*0.85,"빡빡","여유"))</f>
        <v/>
      </c>
    </row>
    <row r="44">
      <c r="B44" s="55" t="n">
        <v>9</v>
      </c>
      <c r="C44" s="11">
        <f>SUMPRODUCT((WBS!$B$5:$B$90="작업")*(WBS!$O$5:$O$90&lt;&gt;"제외")*(WBS!$O$5:$O$90&lt;&gt;"보류")*(WBS!$G$5:$G$90&lt;=$B44)*(WBS!$H$5:$H$90&gt;=$B44)*WBS!$F$5:$F$90/(WBS!$H$5:$H$90-WBS!$G$5:$G$90+1))</f>
        <v/>
      </c>
      <c r="D44" s="11" t="n">
        <v>6</v>
      </c>
      <c r="E44" s="11">
        <f>D44-C44</f>
        <v/>
      </c>
      <c r="F44" s="9">
        <f>IF(C44&gt;D44,"초과",IF(C44&gt;D44*0.85,"빡빡","여유"))</f>
        <v/>
      </c>
    </row>
    <row r="45">
      <c r="B45" s="55" t="n">
        <v>10</v>
      </c>
      <c r="C45" s="11">
        <f>SUMPRODUCT((WBS!$B$5:$B$90="작업")*(WBS!$O$5:$O$90&lt;&gt;"제외")*(WBS!$O$5:$O$90&lt;&gt;"보류")*(WBS!$G$5:$G$90&lt;=$B45)*(WBS!$H$5:$H$90&gt;=$B45)*WBS!$F$5:$F$90/(WBS!$H$5:$H$90-WBS!$G$5:$G$90+1))</f>
        <v/>
      </c>
      <c r="D45" s="11" t="n">
        <v>6</v>
      </c>
      <c r="E45" s="11">
        <f>D45-C45</f>
        <v/>
      </c>
      <c r="F45" s="9">
        <f>IF(C45&gt;D45,"초과",IF(C45&gt;D45*0.85,"빡빡","여유"))</f>
        <v/>
      </c>
    </row>
    <row r="46">
      <c r="B46" s="55" t="n">
        <v>11</v>
      </c>
      <c r="C46" s="11">
        <f>SUMPRODUCT((WBS!$B$5:$B$90="작업")*(WBS!$O$5:$O$90&lt;&gt;"제외")*(WBS!$O$5:$O$90&lt;&gt;"보류")*(WBS!$G$5:$G$90&lt;=$B46)*(WBS!$H$5:$H$90&gt;=$B46)*WBS!$F$5:$F$90/(WBS!$H$5:$H$90-WBS!$G$5:$G$90+1))</f>
        <v/>
      </c>
      <c r="D46" s="11" t="n">
        <v>6</v>
      </c>
      <c r="E46" s="11">
        <f>D46-C46</f>
        <v/>
      </c>
      <c r="F46" s="9">
        <f>IF(C46&gt;D46,"초과",IF(C46&gt;D46*0.85,"빡빡","여유"))</f>
        <v/>
      </c>
    </row>
    <row r="47">
      <c r="B47" s="55" t="n">
        <v>12</v>
      </c>
      <c r="C47" s="11">
        <f>SUMPRODUCT((WBS!$B$5:$B$90="작업")*(WBS!$O$5:$O$90&lt;&gt;"제외")*(WBS!$O$5:$O$90&lt;&gt;"보류")*(WBS!$G$5:$G$90&lt;=$B47)*(WBS!$H$5:$H$90&gt;=$B47)*WBS!$F$5:$F$90/(WBS!$H$5:$H$90-WBS!$G$5:$G$90+1))</f>
        <v/>
      </c>
      <c r="D47" s="11" t="n">
        <v>4</v>
      </c>
      <c r="E47" s="11">
        <f>D47-C47</f>
        <v/>
      </c>
      <c r="F47" s="9">
        <f>IF(C47&gt;D47,"초과",IF(C47&gt;D47*0.85,"빡빡","여유"))</f>
        <v/>
      </c>
    </row>
    <row r="48">
      <c r="B48" s="55" t="n">
        <v>13</v>
      </c>
      <c r="C48" s="11">
        <f>SUMPRODUCT((WBS!$B$5:$B$90="작업")*(WBS!$O$5:$O$90&lt;&gt;"제외")*(WBS!$O$5:$O$90&lt;&gt;"보류")*(WBS!$G$5:$G$90&lt;=$B48)*(WBS!$H$5:$H$90&gt;=$B48)*WBS!$F$5:$F$90/(WBS!$H$5:$H$90-WBS!$G$5:$G$90+1))</f>
        <v/>
      </c>
      <c r="D48" s="11" t="n">
        <v>4</v>
      </c>
      <c r="E48" s="11">
        <f>D48-C48</f>
        <v/>
      </c>
      <c r="F48" s="9">
        <f>IF(C48&gt;D48,"초과",IF(C48&gt;D48*0.85,"빡빡","여유"))</f>
        <v/>
      </c>
    </row>
    <row r="49">
      <c r="B49" s="55" t="n">
        <v>14</v>
      </c>
      <c r="C49" s="11">
        <f>SUMPRODUCT((WBS!$B$5:$B$90="작업")*(WBS!$O$5:$O$90&lt;&gt;"제외")*(WBS!$O$5:$O$90&lt;&gt;"보류")*(WBS!$G$5:$G$90&lt;=$B49)*(WBS!$H$5:$H$90&gt;=$B49)*WBS!$F$5:$F$90/(WBS!$H$5:$H$90-WBS!$G$5:$G$90+1))</f>
        <v/>
      </c>
      <c r="D49" s="11" t="n">
        <v>4</v>
      </c>
      <c r="E49" s="11">
        <f>D49-C49</f>
        <v/>
      </c>
      <c r="F49" s="9">
        <f>IF(C49&gt;D49,"초과",IF(C49&gt;D49*0.85,"빡빡","여유"))</f>
        <v/>
      </c>
    </row>
    <row r="50">
      <c r="B50" s="55" t="n">
        <v>15</v>
      </c>
      <c r="C50" s="11">
        <f>SUMPRODUCT((WBS!$B$5:$B$90="작업")*(WBS!$O$5:$O$90&lt;&gt;"제외")*(WBS!$O$5:$O$90&lt;&gt;"보류")*(WBS!$G$5:$G$90&lt;=$B50)*(WBS!$H$5:$H$90&gt;=$B50)*WBS!$F$5:$F$90/(WBS!$H$5:$H$90-WBS!$G$5:$G$90+1))</f>
        <v/>
      </c>
      <c r="D50" s="11" t="n">
        <v>4</v>
      </c>
      <c r="E50" s="11">
        <f>D50-C50</f>
        <v/>
      </c>
      <c r="F50" s="9">
        <f>IF(C50&gt;D50,"초과",IF(C50&gt;D50*0.85,"빡빡","여유"))</f>
        <v/>
      </c>
    </row>
    <row r="52">
      <c r="B52" s="38" t="inlineStr">
        <is>
          <t>마일스톤</t>
        </is>
      </c>
    </row>
    <row r="53" ht="24" customHeight="1">
      <c r="B53" s="3" t="inlineStr">
        <is>
          <t>ID</t>
        </is>
      </c>
      <c r="C53" s="3" t="inlineStr">
        <is>
          <t>주차</t>
        </is>
      </c>
      <c r="D53" s="3" t="inlineStr">
        <is>
          <t>종료일</t>
        </is>
      </c>
      <c r="E53" s="3" t="inlineStr">
        <is>
          <t>이름</t>
        </is>
      </c>
      <c r="F53" s="3" t="inlineStr">
        <is>
          <t>통과 조건</t>
        </is>
      </c>
      <c r="G53" s="3" t="inlineStr">
        <is>
          <t>상태</t>
        </is>
      </c>
    </row>
    <row r="54">
      <c r="B54" s="9" t="inlineStr">
        <is>
          <t>M1</t>
        </is>
      </c>
      <c r="C54" s="55" t="n">
        <v>3</v>
      </c>
      <c r="D54" s="56">
        <f>표지!$C$15+7*(3-1)+6</f>
        <v/>
      </c>
      <c r="E54" s="13" t="inlineStr">
        <is>
          <t>분석 완료</t>
        </is>
      </c>
      <c r="F54" s="13" t="inlineStr">
        <is>
          <t>정의서 4종 + 백로그·WBS</t>
        </is>
      </c>
      <c r="G54" s="9" t="inlineStr">
        <is>
          <t>완료</t>
        </is>
      </c>
    </row>
    <row r="55">
      <c r="B55" s="9" t="inlineStr">
        <is>
          <t>M2</t>
        </is>
      </c>
      <c r="C55" s="55" t="n">
        <v>5</v>
      </c>
      <c r="D55" s="56">
        <f>표지!$C$15+7*(5-1)+6</f>
        <v/>
      </c>
      <c r="E55" s="13" t="inlineStr">
        <is>
          <t>설계 완료</t>
        </is>
      </c>
      <c r="F55" s="13" t="inlineStr">
        <is>
          <t>스택·ERD·API·규칙·화면, 미결 확정</t>
        </is>
      </c>
      <c r="G55" s="9" t="inlineStr">
        <is>
          <t>대기</t>
        </is>
      </c>
    </row>
    <row r="56">
      <c r="B56" s="9" t="inlineStr">
        <is>
          <t>M3</t>
        </is>
      </c>
      <c r="C56" s="55" t="n">
        <v>7</v>
      </c>
      <c r="D56" s="56">
        <f>표지!$C$15+7*(7-1)+6</f>
        <v/>
      </c>
      <c r="E56" s="13" t="inlineStr">
        <is>
          <t>수집 수직 슬라이스</t>
        </is>
      </c>
      <c r="F56" s="13" t="inlineStr">
        <is>
          <t>원본/정규화가 주기적으로 쌓임</t>
        </is>
      </c>
      <c r="G56" s="9" t="inlineStr">
        <is>
          <t>대기</t>
        </is>
      </c>
    </row>
    <row r="57">
      <c r="B57" s="9" t="inlineStr">
        <is>
          <t>M4</t>
        </is>
      </c>
      <c r="C57" s="55" t="n">
        <v>9</v>
      </c>
      <c r="D57" s="56">
        <f>표지!$C$15+7*(9-1)+6</f>
        <v/>
      </c>
      <c r="E57" s="13" t="inlineStr">
        <is>
          <t>검지 데모</t>
        </is>
      </c>
      <c r="F57" s="13" t="inlineStr">
        <is>
          <t>규칙 다수 + 자동보정/이슈 분기, 원본 불변</t>
        </is>
      </c>
      <c r="G57" s="9" t="inlineStr">
        <is>
          <t>대기</t>
        </is>
      </c>
    </row>
    <row r="58">
      <c r="B58" s="9" t="inlineStr">
        <is>
          <t>M5</t>
        </is>
      </c>
      <c r="C58" s="55" t="n">
        <v>11</v>
      </c>
      <c r="D58" s="56">
        <f>표지!$C$15+7*(11-1)+6</f>
        <v/>
      </c>
      <c r="E58" s="13" t="inlineStr">
        <is>
          <t>MVP 기능 동결</t>
        </is>
      </c>
      <c r="F58" s="13" t="inlineStr">
        <is>
          <t>시연 Must 스토리 Done, 신규 Must 없음</t>
        </is>
      </c>
      <c r="G58" s="9" t="inlineStr">
        <is>
          <t>대기</t>
        </is>
      </c>
    </row>
    <row r="59">
      <c r="B59" s="9" t="inlineStr">
        <is>
          <t>M6</t>
        </is>
      </c>
      <c r="C59" s="55" t="n">
        <v>13</v>
      </c>
      <c r="D59" s="56">
        <f>표지!$C$15+7*(13-1)+6</f>
        <v/>
      </c>
      <c r="E59" s="13" t="inlineStr">
        <is>
          <t>시험 완료</t>
        </is>
      </c>
      <c r="F59" s="13" t="inlineStr">
        <is>
          <t>필수 테스트 100%, 치명/주요 0</t>
        </is>
      </c>
      <c r="G59" s="9" t="inlineStr">
        <is>
          <t>대기</t>
        </is>
      </c>
    </row>
    <row r="60">
      <c r="B60" s="9" t="inlineStr">
        <is>
          <t>M7</t>
        </is>
      </c>
      <c r="C60" s="55" t="n">
        <v>15</v>
      </c>
      <c r="D60" s="56">
        <f>표지!$C$15+7*(15-1)+6</f>
        <v/>
      </c>
      <c r="E60" s="13" t="inlineStr">
        <is>
          <t>인도</t>
        </is>
      </c>
      <c r="F60" s="13" t="inlineStr">
        <is>
          <t>재설치·시연·발표</t>
        </is>
      </c>
      <c r="G60" s="9" t="inlineStr">
        <is>
          <t>대기</t>
        </is>
      </c>
    </row>
    <row r="62">
      <c r="B62" s="38" t="inlineStr">
        <is>
          <t>검증</t>
        </is>
      </c>
    </row>
    <row r="63">
      <c r="B63" s="40" t="inlineStr">
        <is>
          <t>100% 규칙 (단계 합계 = 작업패키지 합계)</t>
        </is>
      </c>
      <c r="C63" s="57" t="n"/>
      <c r="D63" s="47">
        <f>IF(ROUND(WBS!F5+WBS!F10+WBS!F16+WBS!F25+WBS!F76+WBS!F84,2)=ROUND(D14,2),"OK  "&amp;TEXT(D14,"0.0")&amp;"인일 일치","불일치")</f>
        <v/>
      </c>
      <c r="E63" s="57" t="n"/>
      <c r="F63" s="57" t="n"/>
      <c r="G63" s="57" t="n"/>
    </row>
    <row r="64">
      <c r="B64" s="58" t="inlineStr">
        <is>
          <t>작업패키지 누락 (인일 0)</t>
        </is>
      </c>
      <c r="C64" s="59" t="n"/>
      <c r="D64" s="13">
        <f>IF(COUNTIFS(WBS!$B$5:$B$90,"작업",WBS!$F$5:$F$90,0)=0,"OK  없음","확인 "&amp;TEXT(COUNTIFS(WBS!$B$5:$B$90,"작업",WBS!$F$5:$F$90,0),"0")&amp;"건")</f>
        <v/>
      </c>
      <c r="E64" s="59" t="n"/>
      <c r="F64" s="59" t="n"/>
      <c r="G64" s="59" t="n"/>
    </row>
    <row r="65">
      <c r="B65" s="40" t="inlineStr">
        <is>
          <t>주차 역전 (종료주 &lt; 시작주)</t>
        </is>
      </c>
      <c r="C65" s="57" t="n"/>
      <c r="D65" s="47">
        <f>IF(SUMPRODUCT((WBS!$B$5:$B$90="작업")*(WBS!$H$5:$H$90&lt;WBS!$G$5:$G$90))=0,"OK  없음","확인 필요")</f>
        <v/>
      </c>
      <c r="E65" s="57" t="n"/>
      <c r="F65" s="57" t="n"/>
      <c r="G65" s="57" t="n"/>
    </row>
    <row r="66">
      <c r="B66" s="58" t="inlineStr">
        <is>
          <t>주차별 초과 (가용 대비)</t>
        </is>
      </c>
      <c r="C66" s="59" t="n"/>
      <c r="D66" s="13">
        <f>IF(COUNTIF(F36:F50,"초과")=0,"OK  초과 주 없음","초과 "&amp;TEXT(COUNTIF(F36:F50,"초과"),"0")&amp;"주 — 커트 순서 적용")</f>
        <v/>
      </c>
      <c r="E66" s="59" t="n"/>
      <c r="F66" s="59" t="n"/>
      <c r="G66" s="59" t="n"/>
    </row>
    <row r="67">
      <c r="B67" s="40" t="inlineStr">
        <is>
          <t>총량 (확정 계획 / 15주 가용)</t>
        </is>
      </c>
      <c r="C67" s="57" t="n"/>
      <c r="D67" s="47">
        <f>TEXT(D14,"0.0")&amp;" / "&amp;TEXT(SUM(D36:D50),"0.0")&amp;"인일  ·  부하율 "&amp;TEXT(D14/SUM(D36:D50),"0%")&amp;"  ·  여유 "&amp;TEXT(SUM(D36:D50)-D14,"0.0")&amp;"인일"</f>
        <v/>
      </c>
      <c r="E67" s="57" t="n"/>
      <c r="F67" s="57" t="n"/>
      <c r="G67" s="57" t="n"/>
    </row>
    <row r="68">
      <c r="B68" s="58" t="inlineStr">
        <is>
          <t>담당별 확정 계획 인일 (전 기간)</t>
        </is>
      </c>
      <c r="C68" s="59" t="n"/>
      <c r="D68" s="13">
        <f>TEXT(D18,"0.0")&amp;" / "&amp;TEXT(D19,"0.0")&amp;" / "&amp;TEXT(D20,"0.0")&amp;"인일 (조찬희 / 기경현 / 공동)"</f>
        <v/>
      </c>
      <c r="E68" s="59" t="n"/>
      <c r="F68" s="59" t="n"/>
      <c r="G68" s="59" t="n"/>
    </row>
    <row r="69">
      <c r="B69" s="40" t="inlineStr">
        <is>
          <t>제외(Could) 인일</t>
        </is>
      </c>
      <c r="C69" s="57" t="n"/>
      <c r="D69" s="47">
        <f>TEXT(SUMIFS(WBS!$F$5:$F$90,WBS!$B$5:$B$90,"작업",WBS!$O$5:$O$90,"제외"),"0.0")&amp;"인일 / 계획 밖"</f>
        <v/>
      </c>
      <c r="E69" s="57" t="n"/>
      <c r="F69" s="57" t="n"/>
      <c r="G69" s="57" t="n"/>
    </row>
    <row r="70">
      <c r="B70" s="58" t="inlineStr">
        <is>
          <t>보류(Should) 인일</t>
        </is>
      </c>
      <c r="C70" s="59" t="n"/>
      <c r="D70" s="13">
        <f>TEXT(SUMIFS(WBS!$F$5:$F$90,WBS!$B$5:$B$90,"작업",WBS!$O$5:$O$90,"보류"),"0.0")&amp;"인일 / 여유 주에만"</f>
        <v/>
      </c>
      <c r="E70" s="59" t="n"/>
      <c r="F70" s="59" t="n"/>
      <c r="G70" s="59" t="n"/>
    </row>
  </sheetData>
  <mergeCells count="17">
    <mergeCell ref="D67:G67"/>
    <mergeCell ref="B69:C69"/>
    <mergeCell ref="B70:C70"/>
    <mergeCell ref="B68:C68"/>
    <mergeCell ref="D70:G70"/>
    <mergeCell ref="B64:C64"/>
    <mergeCell ref="D65:G65"/>
    <mergeCell ref="B1:N1"/>
    <mergeCell ref="D66:G66"/>
    <mergeCell ref="D69:G69"/>
    <mergeCell ref="B67:C67"/>
    <mergeCell ref="D68:G68"/>
    <mergeCell ref="D64:G64"/>
    <mergeCell ref="B66:C66"/>
    <mergeCell ref="D63:G63"/>
    <mergeCell ref="B63:C63"/>
    <mergeCell ref="B65:C65"/>
  </mergeCells>
  <conditionalFormatting sqref="F36:F50">
    <cfRule type="cellIs" priority="1" operator="equal" dxfId="9">
      <formula>"초과"</formula>
    </cfRule>
    <cfRule type="cellIs" priority="2" operator="equal" dxfId="1">
      <formula>"빡빡"</formula>
    </cfRule>
    <cfRule type="cellIs" priority="3" operator="equal" dxfId="10">
      <formula>"여유"</formula>
    </cfRule>
  </conditionalFormatting>
  <conditionalFormatting sqref="E36:E50">
    <cfRule type="cellIs" priority="4" operator="lessThan" dxfId="9">
      <formula>0</formula>
    </cfRule>
  </conditionalFormatting>
  <conditionalFormatting sqref="G54:G60">
    <cfRule type="cellIs" priority="5" operator="equal" dxfId="0">
      <formula>"완료"</formula>
    </cfRule>
    <cfRule type="cellIs" priority="6" operator="equal" dxfId="1">
      <formula>"진행중"</formula>
    </cfRule>
    <cfRule type="cellIs" priority="7" operator="equal" dxfId="2">
      <formula>"대기"</formula>
    </cfRule>
    <cfRule type="cellIs" priority="8" operator="equal" dxfId="3">
      <formula>"보류"</formula>
    </cfRule>
    <cfRule type="cellIs" priority="9" operator="equal" dxfId="4">
      <formula>"제외"</formula>
    </cfRule>
  </conditionalFormatting>
  <printOptions gridLines="0"/>
  <pageMargins left="0.35" right="0.35" top="0.55" bottom="0.45" header="0.2" footer="0.2"/>
  <pageSetup orientation="landscape" paperSize="9" fitToHeight="0" fitToWidth="1"/>
  <headerFooter>
    <oddHeader>&amp;L&amp;8요약&amp;R&amp;8Signal Guard WBS v1.0</oddHeader>
    <oddFooter>&amp;L&amp;8실시간 교통신호 상태정보 오류검지 시스템 · 2026-09-12&amp;R&amp;8&amp;P / &amp;N</oddFooter>
    <evenHeader/>
    <evenFooter/>
    <firstHeader/>
    <firstFooter/>
  </headerFooter>
  <drawing xmlns:r="http://schemas.openxmlformats.org/officeDocument/2006/relationships" r:id="rId1"/>
</worksheet>
</file>

<file path=xl/worksheets/sheet4.xml><?xml version="1.0" encoding="utf-8"?>
<worksheet xmlns="http://schemas.openxmlformats.org/spreadsheetml/2006/main">
  <sheetPr>
    <tabColor rgb="006B7280"/>
    <outlinePr summaryBelow="1" summaryRight="1"/>
    <pageSetUpPr fitToPage="1"/>
  </sheetPr>
  <dimension ref="B2:D42"/>
  <sheetViews>
    <sheetView showGridLines="0" workbookViewId="0">
      <selection activeCell="A1" sqref="A1"/>
    </sheetView>
  </sheetViews>
  <sheetFormatPr baseColWidth="8" defaultRowHeight="15"/>
  <cols>
    <col width="3" customWidth="1" min="1" max="1"/>
    <col width="20" customWidth="1" min="2" max="2"/>
    <col width="26" customWidth="1" min="3" max="3"/>
    <col width="58" customWidth="1" min="4" max="4"/>
  </cols>
  <sheetData>
    <row r="2" ht="30" customHeight="1">
      <c r="B2" s="60" t="inlineStr">
        <is>
          <t>작업분류체계 (WBS)</t>
        </is>
      </c>
    </row>
    <row r="3">
      <c r="B3" s="61" t="inlineStr">
        <is>
          <t>실시간 교통신호 상태정보 오류검지 시스템 · Signal Guard · 15주 MVP</t>
        </is>
      </c>
    </row>
    <row r="5" ht="20" customHeight="1">
      <c r="B5" s="62" t="inlineStr">
        <is>
          <t>문서 정보</t>
        </is>
      </c>
      <c r="C5" s="63" t="n"/>
      <c r="D5" s="63" t="n"/>
    </row>
    <row r="6" ht="18" customHeight="1">
      <c r="B6" s="64" t="inlineStr">
        <is>
          <t>문서명</t>
        </is>
      </c>
      <c r="C6" s="65" t="inlineStr">
        <is>
          <t>실시간 교통신호 상태정보 오류검지 시스템 작업분류체계</t>
        </is>
      </c>
      <c r="D6" s="66" t="n"/>
    </row>
    <row r="7" ht="18" customHeight="1">
      <c r="B7" s="64" t="inlineStr">
        <is>
          <t>프로젝트</t>
        </is>
      </c>
      <c r="C7" s="65" t="inlineStr">
        <is>
          <t>Signal Guard (수업 프로젝트 · 15주 · 2인)</t>
        </is>
      </c>
      <c r="D7" s="66" t="n"/>
    </row>
    <row r="8" ht="18" customHeight="1">
      <c r="B8" s="64" t="inlineStr">
        <is>
          <t>버전 / 작성일</t>
        </is>
      </c>
      <c r="C8" s="65" t="inlineStr">
        <is>
          <t>1.1 / 2026-09-12</t>
        </is>
      </c>
      <c r="D8" s="66" t="n"/>
    </row>
    <row r="9" ht="18" customHeight="1">
      <c r="B9" s="64" t="inlineStr">
        <is>
          <t>작성</t>
        </is>
      </c>
      <c r="C9" s="65" t="inlineStr">
        <is>
          <t>조찬희 (기획·프론트엔드·PM), 기경현 (백엔드·데이터)</t>
        </is>
      </c>
      <c r="D9" s="66" t="n"/>
    </row>
    <row r="10" ht="18" customHeight="1">
      <c r="B10" s="64" t="inlineStr">
        <is>
          <t>근거 문서</t>
        </is>
      </c>
      <c r="C10" s="65" t="inlineStr">
        <is>
          <t>백로그WBS.md v1.0 4장, 프로젝트정의서.md 12장, 요구사항정의서.md</t>
        </is>
      </c>
      <c r="D10" s="66" t="n"/>
    </row>
    <row r="11" ht="18" customHeight="1">
      <c r="B11" s="64" t="inlineStr">
        <is>
          <t>범위</t>
        </is>
      </c>
      <c r="C11" s="65" t="inlineStr">
        <is>
          <t>6단계 / 활동 8개 / 작업패키지 72개 (확정 68 · 보류 2 · 제외 2)</t>
        </is>
      </c>
      <c r="D11" s="66" t="n"/>
    </row>
    <row r="12" ht="18" customHeight="1">
      <c r="B12" s="64" t="inlineStr">
        <is>
          <t>v1.1 변경</t>
        </is>
      </c>
      <c r="C12" s="65" t="inlineStr">
        <is>
          <t>주간 가용량을 넘지 않도록 인일 재추정 + 기간 분산 — 초과 10주 해소</t>
        </is>
      </c>
      <c r="D12" s="66" t="n"/>
    </row>
    <row r="13" ht="20" customHeight="1">
      <c r="B13" s="62" t="inlineStr">
        <is>
          <t>기준값  (노란 칸만 고치면 날짜·간트·현재 주차가 따라갑니다)</t>
        </is>
      </c>
      <c r="C13" s="63" t="n"/>
      <c r="D13" s="63" t="n"/>
    </row>
    <row r="14" ht="18" customHeight="1">
      <c r="B14" s="64" t="inlineStr">
        <is>
          <t>기준일</t>
        </is>
      </c>
      <c r="C14" s="67" t="n">
        <v>46277</v>
      </c>
      <c r="D14" s="68" t="n"/>
    </row>
    <row r="15" ht="18" customHeight="1">
      <c r="B15" s="64" t="inlineStr">
        <is>
          <t>1주차 시작일</t>
        </is>
      </c>
      <c r="C15" s="67" t="n">
        <v>46266</v>
      </c>
      <c r="D15" s="68" t="n"/>
    </row>
    <row r="16" ht="18" customHeight="1">
      <c r="B16" s="64" t="inlineStr">
        <is>
          <t>현재 주차</t>
        </is>
      </c>
      <c r="C16" s="65">
        <f>MAX(1,MIN(15,INT((C14-C15)/7)+1))</f>
        <v/>
      </c>
      <c r="D16" s="66" t="n"/>
    </row>
    <row r="17" ht="18" customHeight="1">
      <c r="B17" s="64" t="inlineStr">
        <is>
          <t>확정 계획 인일 / 팀 가용</t>
        </is>
      </c>
      <c r="C17" s="65">
        <f>TEXT(요약!D14,"0.0")&amp;"인일  /  "&amp;TEXT(SUM(요약!D36:D50),"0.0")&amp;"인일 가용"</f>
        <v/>
      </c>
      <c r="D17" s="66" t="n"/>
    </row>
    <row r="18" ht="18" customHeight="1">
      <c r="B18" s="64" t="inlineStr">
        <is>
          <t>획득 인일 / 진척률</t>
        </is>
      </c>
      <c r="C18" s="65">
        <f>TEXT(요약!E14,"0.0")&amp;"인일  ·  "&amp;TEXT(요약!F14,"0%")</f>
        <v/>
      </c>
      <c r="D18" s="66" t="n"/>
    </row>
    <row r="20" ht="20" customHeight="1">
      <c r="B20" s="62" t="inlineStr">
        <is>
          <t>시트 구성</t>
        </is>
      </c>
      <c r="C20" s="63" t="n"/>
      <c r="D20" s="63" t="n"/>
    </row>
    <row r="21" ht="26" customHeight="1">
      <c r="B21" s="69" t="inlineStr">
        <is>
          <t>WBS</t>
        </is>
      </c>
      <c r="C21" s="70" t="inlineStr">
        <is>
          <t>본체. 단계 → 활동 → 작업패키지 3계층. 상태·진행률만 입력하면 나머지는 수식.</t>
        </is>
      </c>
      <c r="D21" s="71" t="n"/>
    </row>
    <row r="22" ht="26" customHeight="1">
      <c r="B22" s="72" t="inlineStr">
        <is>
          <t>간트</t>
        </is>
      </c>
      <c r="C22" s="65" t="inlineStr">
        <is>
          <t>15주 주차별 막대. WBS를 그대로 참조하므로 따로 고칠 것이 없습니다.</t>
        </is>
      </c>
      <c r="D22" s="66" t="n"/>
    </row>
    <row r="23" ht="26" customHeight="1">
      <c r="B23" s="69" t="inlineStr">
        <is>
          <t>요약</t>
        </is>
      </c>
      <c r="C23" s="70" t="inlineStr">
        <is>
          <t>단계별·담당별·주차별 인일 집계와 차트, 마일스톤, 검증 결과.</t>
        </is>
      </c>
      <c r="D23" s="71" t="n"/>
    </row>
    <row r="24" ht="26" customHeight="1">
      <c r="B24" s="72" t="inlineStr">
        <is>
          <t>표지</t>
        </is>
      </c>
      <c r="C24" s="65" t="inlineStr">
        <is>
          <t>문서 정보와 기준값. 1주차 시작일을 바꾸면 전체 날짜가 이동합니다.</t>
        </is>
      </c>
      <c r="D24" s="66" t="n"/>
    </row>
    <row r="26" ht="20" customHeight="1">
      <c r="B26" s="62" t="inlineStr">
        <is>
          <t>WBS 작성 규칙</t>
        </is>
      </c>
      <c r="C26" s="63" t="n"/>
      <c r="D26" s="63" t="n"/>
    </row>
    <row r="27" ht="17" customHeight="1">
      <c r="B27" s="73" t="inlineStr">
        <is>
          <t>① 100% 규칙 — 상위 단계의 인일은 하위 작업패키지 합계와 정확히 같다 (요약 시트에서 자동 검증).</t>
        </is>
      </c>
    </row>
    <row r="28" ht="17" customHeight="1">
      <c r="B28" s="73" t="inlineStr">
        <is>
          <t>② 최하위 단위는 작업패키지(Work Package)다. 0.5~2.5인일로 쪼개 한 주 안에 끝낼 수 있게 한다.</t>
        </is>
      </c>
    </row>
    <row r="29" ht="17" customHeight="1">
      <c r="B29" s="73" t="inlineStr">
        <is>
          <t>③ 작업패키지는 산출물 하나로 완료를 확인한다. 완료 판정은 백로그WBS.md 2.4 DoD를 따른다.</t>
        </is>
      </c>
    </row>
    <row r="30" ht="17" customHeight="1">
      <c r="B30" s="73" t="inlineStr">
        <is>
          <t>④ 구현 작업패키지는 제품 백로그(US/EN) 한 건과 연결한다 — 추적은 '관련 백로그' 열.</t>
        </is>
      </c>
    </row>
    <row r="31" ht="17" customHeight="1">
      <c r="B31" s="73" t="inlineStr">
        <is>
          <t>⑤ 인일은 수업일 기준. 분석·설계·테스트·안정화 주 4인일, 구현 주 6인일이 팀 가용량이다.</t>
        </is>
      </c>
    </row>
    <row r="32" ht="17" customHeight="1">
      <c r="B32" s="73" t="inlineStr">
        <is>
          <t>⑥ 제외(Could)·보류(Should) 항목은 확정 계획 합계와 주차별 부하에서 빠진다 — 여유 주에만 넣는다.</t>
        </is>
      </c>
    </row>
    <row r="33" ht="17" customHeight="1">
      <c r="B33" s="73" t="inlineStr">
        <is>
          <t>⑦ 어느 주도 팀 가용량을 넘지 않게 기간을 쪼갠다. v1.1에서 인일을 재추정하고 초과 10주를 해소했다.</t>
        </is>
      </c>
    </row>
    <row r="34" ht="20" customHeight="1">
      <c r="B34" s="62" t="inlineStr">
        <is>
          <t>상태 값 (WBS 시트 드롭다운)</t>
        </is>
      </c>
      <c r="C34" s="63" t="n"/>
      <c r="D34" s="63" t="n"/>
    </row>
    <row r="35" ht="17" customHeight="1">
      <c r="B35" s="74" t="inlineStr">
        <is>
          <t>완료</t>
        </is>
      </c>
      <c r="C35" s="65" t="inlineStr">
        <is>
          <t>산출물이 저장소에 있고 DoD를 만족. 진행률 100%.</t>
        </is>
      </c>
      <c r="D35" s="66" t="n"/>
    </row>
    <row r="36" ht="17" customHeight="1">
      <c r="B36" s="75" t="inlineStr">
        <is>
          <t>진행중</t>
        </is>
      </c>
      <c r="C36" s="65" t="inlineStr">
        <is>
          <t>이번 주 작업 중. 진행률(0~100%)을 같이 적는다.</t>
        </is>
      </c>
      <c r="D36" s="66" t="n"/>
    </row>
    <row r="37" ht="17" customHeight="1">
      <c r="B37" s="76" t="inlineStr">
        <is>
          <t>대기</t>
        </is>
      </c>
      <c r="C37" s="65" t="inlineStr">
        <is>
          <t>선행이 끝나지 않았거나 아직 착수 전.</t>
        </is>
      </c>
      <c r="D37" s="66" t="n"/>
    </row>
    <row r="38" ht="17" customHeight="1">
      <c r="B38" s="77" t="inlineStr">
        <is>
          <t>보류</t>
        </is>
      </c>
      <c r="C38" s="65" t="inlineStr">
        <is>
          <t>Should·조건부. 승인이나 여유 주가 생기면 대기로 바꾼다.</t>
        </is>
      </c>
      <c r="D38" s="66" t="n"/>
    </row>
    <row r="39" ht="17" customHeight="1">
      <c r="B39" s="78" t="inlineStr">
        <is>
          <t>제외</t>
        </is>
      </c>
      <c r="C39" s="65" t="inlineStr">
        <is>
          <t>Could 또는 범위 커트. 계획·진척 분모에서 빠진다.</t>
        </is>
      </c>
      <c r="D39" s="66" t="n"/>
    </row>
    <row r="41">
      <c r="B41" s="79" t="inlineStr">
        <is>
          <t>주간 리뷰 절차: WBS 시트의 상태·진행률 두 열만 고친다 → 요약 시트의 단계별 진척과 주차별 부하가 갱신된다 → 초과(빨간 칸)가 보이면 백로그WBS.md 3.5 커트 순서를 적용한다.</t>
        </is>
      </c>
      <c r="C41" s="80" t="n"/>
      <c r="D41" s="80" t="n"/>
    </row>
    <row r="42">
      <c r="B42" s="80" t="n"/>
      <c r="C42" s="80" t="n"/>
      <c r="D42" s="80" t="n"/>
    </row>
  </sheetData>
  <mergeCells count="36">
    <mergeCell ref="C6:D6"/>
    <mergeCell ref="C24:D24"/>
    <mergeCell ref="C15:D15"/>
    <mergeCell ref="B13:D13"/>
    <mergeCell ref="C14:D14"/>
    <mergeCell ref="B29:D29"/>
    <mergeCell ref="B34:D34"/>
    <mergeCell ref="C35:D35"/>
    <mergeCell ref="B28:D28"/>
    <mergeCell ref="B41:D42"/>
    <mergeCell ref="C10:D10"/>
    <mergeCell ref="C16:D16"/>
    <mergeCell ref="C22:D22"/>
    <mergeCell ref="B30:D30"/>
    <mergeCell ref="C9:D9"/>
    <mergeCell ref="B20:D20"/>
    <mergeCell ref="B33:D33"/>
    <mergeCell ref="C12:D12"/>
    <mergeCell ref="B5:D5"/>
    <mergeCell ref="C21:D21"/>
    <mergeCell ref="C11:D11"/>
    <mergeCell ref="B32:D32"/>
    <mergeCell ref="B26:D26"/>
    <mergeCell ref="C36:D36"/>
    <mergeCell ref="C17:D17"/>
    <mergeCell ref="C23:D23"/>
    <mergeCell ref="C39:D39"/>
    <mergeCell ref="C8:D8"/>
    <mergeCell ref="B3:D3"/>
    <mergeCell ref="C7:D7"/>
    <mergeCell ref="C38:D38"/>
    <mergeCell ref="B31:D31"/>
    <mergeCell ref="C37:D37"/>
    <mergeCell ref="B27:D27"/>
    <mergeCell ref="C18:D18"/>
    <mergeCell ref="B2:D2"/>
  </mergeCells>
  <printOptions gridLines="0"/>
  <pageMargins left="0.35" right="0.35" top="0.55" bottom="0.45" header="0.2" footer="0.2"/>
  <pageSetup orientation="portrait" paperSize="9" fitToHeight="1" fitToWidth="1"/>
  <headerFooter>
    <oddHeader>&amp;L&amp;8표지&amp;R&amp;8Signal Guard WBS v1.0</oddHeader>
    <oddFooter>&amp;L&amp;8실시간 교통신호 상태정보 오류검지 시스템 · 2026-09-12&amp;R&amp;8&amp;P /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2026-09-12T08:30:44Z</dcterms:created>
  <dcterms:modified xmlns:dcterms="http://purl.org/dc/terms/" xmlns:xsi="http://www.w3.org/2001/XMLSchema-instance" xsi:type="dcterms:W3CDTF">2026-09-12T08:30:45Z</dcterms:modified>
</cp:coreProperties>
</file>