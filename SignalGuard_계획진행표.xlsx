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사용안내" sheetId="2" state="visible" r:id="rId2"/>
    <sheet xmlns:r="http://schemas.openxmlformats.org/officeDocument/2006/relationships" name="주차별계획" sheetId="3" state="visible" r:id="rId3"/>
    <sheet xmlns:r="http://schemas.openxmlformats.org/officeDocument/2006/relationships" name="WBS" sheetId="4" state="visible" r:id="rId4"/>
    <sheet xmlns:r="http://schemas.openxmlformats.org/officeDocument/2006/relationships" name="제품백로그" sheetId="5" state="visible" r:id="rId5"/>
    <sheet xmlns:r="http://schemas.openxmlformats.org/officeDocument/2006/relationships" name="스프린트" sheetId="6" state="visible" r:id="rId6"/>
    <sheet xmlns:r="http://schemas.openxmlformats.org/officeDocument/2006/relationships" name="마일스톤" sheetId="7" state="visible" r:id="rId7"/>
    <sheet xmlns:r="http://schemas.openxmlformats.org/officeDocument/2006/relationships" name="위험" sheetId="8" state="visible" r:id="rId8"/>
    <sheet xmlns:r="http://schemas.openxmlformats.org/officeDocument/2006/relationships" name="집계" sheetId="9" state="visible" r:id="rId9"/>
  </sheets>
  <definedNames>
    <definedName name="Week1Start">대시보드!$C$8</definedName>
    <definedName name="AsOf">대시보드!$C$7</definedName>
    <definedName name="_xlnm.Print_Area" localSheetId="0">'대시보드'!$B$2:$J$54</definedName>
    <definedName name="_xlnm._FilterDatabase" localSheetId="2" hidden="1">'주차별계획'!$A$1:$G$29</definedName>
    <definedName name="_xlnm._FilterDatabase" localSheetId="3" hidden="1">'WBS'!$A$1:$N$73</definedName>
    <definedName name="_xlnm._FilterDatabase" localSheetId="4" hidden="1">'제품백로그'!$A$1:$M$39</definedName>
    <definedName name="_xlnm._FilterDatabase" localSheetId="5" hidden="1">'스프린트'!$A$1:$K$14</definedName>
    <definedName name="_xlnm._FilterDatabase" localSheetId="6" hidden="1">'마일스톤'!$A$1:$G$8</definedName>
    <definedName name="_xlnm._FilterDatabase" localSheetId="7" hidden="1">'위험'!$A$1:$G$7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0.0"/>
    <numFmt numFmtId="167" formatCode="M/D"/>
    <numFmt numFmtId="168" formatCode="&quot;W&quot;0"/>
  </numFmts>
  <fonts count="28">
    <font>
      <name val="Calibri"/>
      <family val="2"/>
      <color theme="1"/>
      <sz val="11"/>
      <scheme val="minor"/>
    </font>
    <font>
      <name val="맑은 고딕"/>
      <b val="1"/>
      <color rgb="001B365D"/>
      <sz val="18"/>
    </font>
    <font>
      <name val="맑은 고딕"/>
      <color rgb="005B6570"/>
      <sz val="11"/>
    </font>
    <font>
      <name val="맑은 고딕"/>
      <b val="1"/>
      <color rgb="001B365D"/>
      <sz val="10"/>
    </font>
    <font>
      <name val="맑은 고딕"/>
      <color rgb="001A1A1A"/>
      <sz val="10"/>
    </font>
    <font>
      <name val="맑은 고딕"/>
      <b val="1"/>
      <color rgb="001B365D"/>
      <sz val="12"/>
    </font>
    <font>
      <name val="맑은 고딕"/>
      <b val="1"/>
      <color rgb="00FFFFFF"/>
      <sz val="9"/>
    </font>
    <font>
      <name val="맑은 고딕"/>
      <b val="1"/>
      <color rgb="001A1A1A"/>
      <sz val="10"/>
    </font>
    <font>
      <name val="맑은 고딕"/>
      <b val="1"/>
      <color rgb="00006100"/>
      <sz val="10"/>
    </font>
    <font>
      <name val="맑은 고딕"/>
      <b val="1"/>
      <color rgb="007A5B00"/>
      <sz val="10"/>
    </font>
    <font>
      <name val="맑은 고딕"/>
      <b val="1"/>
      <color rgb="009C5700"/>
      <sz val="10"/>
    </font>
    <font>
      <name val="맑은 고딕"/>
      <b val="1"/>
      <color rgb="006B7280"/>
      <sz val="10"/>
    </font>
    <font>
      <name val="맑은 고딕"/>
      <color rgb="005B6570"/>
      <sz val="10"/>
    </font>
    <font>
      <name val="맑은 고딕"/>
      <b val="1"/>
      <color rgb="001A1A1A"/>
      <sz val="11"/>
    </font>
    <font>
      <name val="맑은 고딕"/>
      <b val="1"/>
      <color rgb="007A5B00"/>
      <sz val="11"/>
    </font>
    <font>
      <name val="맑은 고딕"/>
      <color rgb="007A5B00"/>
      <sz val="9"/>
    </font>
    <font>
      <name val="맑은 고딕"/>
      <b val="1"/>
      <color rgb="00FFFFFF"/>
      <sz val="8"/>
    </font>
    <font>
      <name val="맑은 고딕"/>
      <b val="1"/>
      <color rgb="001B365D"/>
      <sz val="14"/>
    </font>
    <font>
      <name val="맑은 고딕"/>
      <color rgb="005B6570"/>
      <sz val="8"/>
    </font>
    <font>
      <name val="맑은 고딕"/>
      <color rgb="001A1A1A"/>
      <sz val="11"/>
    </font>
    <font>
      <name val="맑은 고딕"/>
      <color rgb="001A1A1A"/>
      <sz val="9"/>
    </font>
    <font>
      <name val="맑은 고딕"/>
      <color rgb="005B6570"/>
      <sz val="9"/>
    </font>
    <font>
      <name val="맑은 고딕"/>
      <b val="1"/>
      <color rgb="001B365D"/>
      <sz val="9"/>
    </font>
    <font>
      <name val="맑은 고딕"/>
      <color rgb="00FFFFFF"/>
      <sz val="8"/>
    </font>
    <font>
      <name val="맑은 고딕"/>
      <b val="1"/>
      <color rgb="001A1A1A"/>
      <sz val="9"/>
    </font>
    <font>
      <name val="맑은 고딕"/>
      <color rgb="001A1A1A"/>
      <sz val="8"/>
    </font>
    <font>
      <name val="맑은 고딕"/>
      <b val="1"/>
      <color rgb="005B6570"/>
      <sz val="10"/>
    </font>
    <font>
      <name val="맑은 고딕"/>
      <b val="1"/>
      <color rgb="001B365D"/>
      <sz val="11"/>
    </font>
  </fonts>
  <fills count="13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B365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EEEEE"/>
      </patternFill>
    </fill>
    <fill>
      <patternFill patternType="solid">
        <fgColor rgb="002E5090"/>
      </patternFill>
    </fill>
    <fill>
      <patternFill patternType="solid">
        <fgColor rgb="00EAF1F8"/>
      </patternFill>
    </fill>
    <fill>
      <patternFill patternType="solid">
        <fgColor rgb="00D5E8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0" fillId="7" borderId="1" applyAlignment="1" pivotButton="0" quotePrefix="0" xfId="0">
      <alignment vertical="top" wrapText="1"/>
    </xf>
    <xf numFmtId="0" fontId="0" fillId="7" borderId="1" pivotButton="0" quotePrefix="0" xfId="0"/>
    <xf numFmtId="165" fontId="13" fillId="2" borderId="1" applyAlignment="1" pivotButton="0" quotePrefix="0" xfId="0">
      <alignment horizontal="left" vertical="center" wrapText="1"/>
    </xf>
    <xf numFmtId="165" fontId="14" fillId="5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5" fillId="0" borderId="0" pivotButton="0" quotePrefix="0" xfId="0"/>
    <xf numFmtId="0" fontId="0" fillId="9" borderId="0" pivotButton="0" quotePrefix="0" xfId="0"/>
    <xf numFmtId="0" fontId="16" fillId="9" borderId="1" applyAlignment="1" pivotButton="0" quotePrefix="0" xfId="0">
      <alignment horizontal="center" vertical="center" wrapText="1"/>
    </xf>
    <xf numFmtId="9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vertical="top" wrapText="1"/>
    </xf>
    <xf numFmtId="0" fontId="0" fillId="11" borderId="1" pivotButton="0" quotePrefix="0" xfId="0"/>
    <xf numFmtId="0" fontId="21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165" fontId="20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165" fontId="20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2" borderId="1" pivotButton="0" quotePrefix="0" xfId="0"/>
    <xf numFmtId="0" fontId="4" fillId="2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168" fontId="6" fillId="3" borderId="1" applyAlignment="1" pivotButton="0" quotePrefix="0" xfId="0">
      <alignment horizontal="center" vertical="center" wrapText="1"/>
    </xf>
    <xf numFmtId="0" fontId="16" fillId="9" borderId="1" pivotButton="0" quotePrefix="0" xfId="0"/>
    <xf numFmtId="167" fontId="23" fillId="9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1" fillId="0" borderId="0" pivotButton="0" quotePrefix="0" xfId="0"/>
    <xf numFmtId="166" fontId="20" fillId="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9" fontId="20" fillId="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1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6" fontId="27" fillId="0" borderId="0" pivotButton="0" quotePrefix="0" xfId="0"/>
    <xf numFmtId="9" fontId="27" fillId="0" borderId="0" pivotButton="0" quotePrefix="0" xfId="0"/>
    <xf numFmtId="0" fontId="6" fillId="3" borderId="1" pivotButton="0" quotePrefix="0" xfId="0"/>
    <xf numFmtId="0" fontId="20" fillId="0" borderId="1" pivotButton="0" quotePrefix="0" xfId="0"/>
  </cellXfs>
  <cellStyles count="1">
    <cellStyle name="Normal" xfId="0" builtinId="0" hidden="0"/>
  </cellStyles>
  <dxfs count="12">
    <dxf>
      <font>
        <name val="맑은 고딕"/>
        <b val="1"/>
        <color rgb="00006100"/>
        <sz val="9"/>
      </font>
      <fill>
        <patternFill patternType="solid">
          <fgColor rgb="00C6EFCE"/>
        </patternFill>
      </fill>
    </dxf>
    <dxf>
      <font>
        <name val="맑은 고딕"/>
        <b val="1"/>
        <color rgb="007A5B00"/>
        <sz val="9"/>
      </font>
      <fill>
        <patternFill patternType="solid">
          <fgColor rgb="00FFF2CC"/>
        </patternFill>
      </fill>
    </dxf>
    <dxf>
      <font>
        <name val="맑은 고딕"/>
        <b val="1"/>
        <color rgb="001B365D"/>
        <sz val="9"/>
      </font>
      <fill>
        <patternFill patternType="solid">
          <fgColor rgb="00D6E3F0"/>
        </patternFill>
      </fill>
    </dxf>
    <dxf>
      <font>
        <name val="맑은 고딕"/>
        <b val="1"/>
        <color rgb="009C5700"/>
        <sz val="9"/>
      </font>
      <fill>
        <patternFill patternType="solid">
          <fgColor rgb="00FCE4D6"/>
        </patternFill>
      </fill>
    </dxf>
    <dxf>
      <font>
        <name val="맑은 고딕"/>
        <b val="1"/>
        <color rgb="006B7280"/>
        <sz val="9"/>
      </font>
      <fill>
        <patternFill patternType="solid">
          <fgColor rgb="00EEEEEE"/>
        </patternFill>
      </fill>
    </dxf>
    <dxf>
      <font>
        <name val="맑은 고딕"/>
        <b val="1"/>
        <color rgb="00006100"/>
        <sz val="8"/>
      </font>
      <fill>
        <patternFill patternType="solid">
          <fgColor rgb="00C6EFCE"/>
        </patternFill>
      </fill>
    </dxf>
    <dxf>
      <font>
        <name val="맑은 고딕"/>
        <b val="1"/>
        <color rgb="007A5B00"/>
        <sz val="8"/>
      </font>
      <fill>
        <patternFill patternType="solid">
          <fgColor rgb="00FFF2CC"/>
        </patternFill>
      </fill>
    </dxf>
    <dxf>
      <font>
        <name val="맑은 고딕"/>
        <b val="1"/>
        <color rgb="001B365D"/>
        <sz val="8"/>
      </font>
      <fill>
        <patternFill patternType="solid">
          <fgColor rgb="00D6E3F0"/>
        </patternFill>
      </fill>
    </dxf>
    <dxf>
      <font>
        <name val="맑은 고딕"/>
        <b val="1"/>
        <color rgb="009C5700"/>
        <sz val="8"/>
      </font>
      <fill>
        <patternFill patternType="solid">
          <fgColor rgb="00FCE4D6"/>
        </patternFill>
      </fill>
    </dxf>
    <dxf>
      <font>
        <name val="맑은 고딕"/>
        <color rgb="006B7280"/>
        <sz val="8"/>
      </font>
      <fill>
        <patternFill patternType="solid">
          <fgColor rgb="00EEEEEE"/>
        </patternFill>
      </fill>
    </dxf>
    <dxf>
      <fill>
        <patternFill patternType="solid">
          <fgColor rgb="00FFF4CC"/>
        </patternFill>
      </fill>
    </dxf>
    <dxf>
      <font>
        <name val="맑은 고딕"/>
        <color rgb="007A5B00"/>
        <sz val="9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단계별 인일 (계획 vs 획득)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'집계'!B8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'집계'!$A$9:$A$14</f>
            </numRef>
          </cat>
          <val>
            <numRef>
              <f>'집계'!$B$9:$B$14</f>
            </numRef>
          </val>
        </ser>
        <ser>
          <idx val="1"/>
          <order val="1"/>
          <tx>
            <strRef>
              <f>'집계'!C8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'집계'!$A$9:$A$14</f>
            </numRef>
          </cat>
          <val>
            <numRef>
              <f>'집계'!$C$9:$C$14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단계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인일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구현 스프린트 Must SP (계획 vs 완료)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'집계'!B24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'집계'!$A$25:$A$30</f>
            </numRef>
          </cat>
          <val>
            <numRef>
              <f>'집계'!$B$25:$B$30</f>
            </numRef>
          </val>
        </ser>
        <ser>
          <idx val="1"/>
          <order val="1"/>
          <tx>
            <strRef>
              <f>'집계'!C24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'집계'!$A$25:$A$30</f>
            </numRef>
          </cat>
          <val>
            <numRef>
              <f>'집계'!$C$25:$C$30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스프린트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스토리 포인트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BSTable" displayName="WBSTable" ref="A1:N73" headerRowCount="1">
  <autoFilter ref="A1:N73"/>
  <tableColumns count="14">
    <tableColumn id="1" name="WBS ID"/>
    <tableColumn id="2" name="단계"/>
    <tableColumn id="3" name="분류"/>
    <tableColumn id="4" name="패키지"/>
    <tableColumn id="5" name="인일"/>
    <tableColumn id="6" name="시작주"/>
    <tableColumn id="7" name="종료주"/>
    <tableColumn id="8" name="담당"/>
    <tableColumn id="9" name="백로그"/>
    <tableColumn id="10" name="산출물"/>
    <tableColumn id="11" name="상태"/>
    <tableColumn id="12" name="진행률"/>
    <tableColumn id="13" name="실적종료"/>
    <tableColumn id="14" name="비고"/>
  </tableColumns>
  <tableStyleInfo name="TableStyleMedium2" showRowStripes="1"/>
</table>
</file>

<file path=xl/tables/table2.xml><?xml version="1.0" encoding="utf-8"?>
<table xmlns="http://schemas.openxmlformats.org/spreadsheetml/2006/main" id="2" name="BacklogTable" displayName="BacklogTable" ref="A1:M39" headerRowCount="1">
  <autoFilter ref="A1:M39"/>
  <tableColumns count="13">
    <tableColumn id="1" name="P"/>
    <tableColumn id="2" name="ID"/>
    <tableColumn id="3" name="구분"/>
    <tableColumn id="4" name="에픽"/>
    <tableColumn id="5" name="항목"/>
    <tableColumn id="6" name="SP"/>
    <tableColumn id="7" name="목표스프린트"/>
    <tableColumn id="8" name="주담당"/>
    <tableColumn id="9" name="부담당"/>
    <tableColumn id="10" name="선행"/>
    <tableColumn id="11" name="상태"/>
    <tableColumn id="12" name="진행률"/>
    <tableColumn id="13" name="비고"/>
  </tableColumns>
  <tableStyleInfo name="TableStyleMedium2" showRowStripes="1"/>
</table>
</file>

<file path=xl/tables/table3.xml><?xml version="1.0" encoding="utf-8"?>
<table xmlns="http://schemas.openxmlformats.org/spreadsheetml/2006/main" id="3" name="SprintTable" displayName="SprintTable" ref="A1:K14" headerRowCount="1">
  <autoFilter ref="A1:K14"/>
  <tableColumns count="11">
    <tableColumn id="1" name="스프린트"/>
    <tableColumn id="2" name="주차"/>
    <tableColumn id="3" name="단계"/>
    <tableColumn id="4" name="목표"/>
    <tableColumn id="5" name="Must SP"/>
    <tableColumn id="6" name="조찬희"/>
    <tableColumn id="7" name="기경현"/>
    <tableColumn id="8" name="커밋 항목"/>
    <tableColumn id="9" name="완료 시 데모"/>
    <tableColumn id="10" name="상태"/>
    <tableColumn id="11" name="실제완료SP"/>
  </tableColumns>
  <tableStyleInfo name="TableStyleMedium2" showRowStripes="1"/>
</table>
</file>

<file path=xl/tables/table4.xml><?xml version="1.0" encoding="utf-8"?>
<table xmlns="http://schemas.openxmlformats.org/spreadsheetml/2006/main" id="4" name="MilestoneTable" displayName="MilestoneTable" ref="A1:G8" headerRowCount="1">
  <autoFilter ref="A1:G8"/>
  <tableColumns count="7">
    <tableColumn id="1" name="ID"/>
    <tableColumn id="2" name="주차"/>
    <tableColumn id="3" name="이름"/>
    <tableColumn id="4" name="통과 조건"/>
    <tableColumn id="5" name="상태"/>
    <tableColumn id="6" name="실적일"/>
    <tableColumn id="7" name="비고"/>
  </tableColumns>
  <tableStyleInfo name="TableStyleMedium2" showRowStripes="1"/>
</table>
</file>

<file path=xl/tables/table5.xml><?xml version="1.0" encoding="utf-8"?>
<table xmlns="http://schemas.openxmlformats.org/spreadsheetml/2006/main" id="5" name="RiskTable" displayName="RiskTable" ref="A1:G7" headerRowCount="1">
  <autoFilter ref="A1:G7"/>
  <tableColumns count="7">
    <tableColumn id="1" name="위험"/>
    <tableColumn id="2" name="영향"/>
    <tableColumn id="3" name="완화"/>
    <tableColumn id="4" name="버퍼"/>
    <tableColumn id="5" name="상태"/>
    <tableColumn id="6" name="담당"/>
    <tableColumn id="7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B2:J52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1" t="inlineStr">
        <is>
          <t>Signal Guard 계획·진행 대시보드</t>
        </is>
      </c>
    </row>
    <row r="3">
      <c r="B3" s="2" t="inlineStr">
        <is>
          <t>출처: 백로그WBS.md v1.0 · 분석 10인일 완료 · 구현 Must 96SP = 6주 × 16SP</t>
        </is>
      </c>
    </row>
    <row r="5">
      <c r="B5" s="3" t="inlineStr">
        <is>
          <t>프로젝트</t>
        </is>
      </c>
      <c r="C5" s="4" t="inlineStr">
        <is>
          <t>실시간 교통신호 상태정보 오류검지 시스템</t>
        </is>
      </c>
      <c r="D5" s="5" t="n"/>
      <c r="E5" s="5" t="n"/>
      <c r="F5" s="6" t="inlineStr">
        <is>
          <t>S6 Must 잔여 ≈ 29SP (용량 16을 초과).
1순위: MON-02, CTL-05, CTL-01, CTL-02, CTL-03
3순위 커트: RPT-02, ADM-02, CTL-04, PLN-02</t>
        </is>
      </c>
      <c r="G5" s="7" t="n"/>
      <c r="H5" s="7" t="n"/>
      <c r="I5" s="7" t="n"/>
      <c r="J5" s="7" t="n"/>
    </row>
    <row r="6">
      <c r="B6" s="3" t="inlineStr">
        <is>
          <t>팀</t>
        </is>
      </c>
      <c r="C6" s="4" t="inlineStr">
        <is>
          <t>조찬희 (기획·FE·PM)  /  기경현 (BE·데이터)</t>
        </is>
      </c>
      <c r="D6" s="5" t="n"/>
      <c r="E6" s="5" t="n"/>
      <c r="F6" s="7" t="n"/>
      <c r="G6" s="7" t="n"/>
      <c r="H6" s="7" t="n"/>
      <c r="I6" s="7" t="n"/>
      <c r="J6" s="7" t="n"/>
    </row>
    <row r="7">
      <c r="B7" s="3" t="inlineStr">
        <is>
          <t>기준일</t>
        </is>
      </c>
      <c r="C7" s="8" t="n">
        <v>46277</v>
      </c>
      <c r="D7" s="5" t="n"/>
      <c r="E7" s="5" t="n"/>
    </row>
    <row r="8">
      <c r="B8" s="3" t="inlineStr">
        <is>
          <t>1주차 시작일</t>
        </is>
      </c>
      <c r="C8" s="9" t="n">
        <v>46266</v>
      </c>
      <c r="D8" s="5" t="n"/>
      <c r="E8" s="5" t="n"/>
      <c r="F8" s="10" t="inlineStr">
        <is>
          <t>노란 칸만 수정 → 현재 주차·간트 날짜가 따라갑니다.</t>
        </is>
      </c>
    </row>
    <row r="9">
      <c r="B9" s="3" t="inlineStr">
        <is>
          <t>현재 주차</t>
        </is>
      </c>
      <c r="C9" s="4">
        <f>MAX(1,MIN(15,INT((C7-C8)/7)+1))</f>
        <v/>
      </c>
      <c r="D9" s="5" t="n"/>
      <c r="E9" s="5" t="n"/>
    </row>
    <row r="10">
      <c r="B10" s="3" t="inlineStr">
        <is>
          <t>현재 단계</t>
        </is>
      </c>
      <c r="C10" s="4">
        <f>IF(C9&lt;=3,"분석 (S0)",IF(C9&lt;=5,"설계 (S-D1/D2)",IF(C9&lt;=11,"구현 (S1–S6)",IF(C9&lt;=13,"테스트 (S-T)","안정화 (S-R)"))))</f>
        <v/>
      </c>
      <c r="D10" s="5" t="n"/>
      <c r="E10" s="5" t="n"/>
    </row>
    <row r="12">
      <c r="B12" s="11" t="inlineStr">
        <is>
          <t>핵심 지표 (수식 · WBS/백로그와 연동)</t>
        </is>
      </c>
    </row>
    <row r="13">
      <c r="B13" s="12" t="inlineStr"/>
      <c r="C13" s="13" t="inlineStr">
        <is>
          <t>전체 인일 진척</t>
        </is>
      </c>
      <c r="D13" s="13" t="inlineStr">
        <is>
          <t>분석</t>
        </is>
      </c>
      <c r="E13" s="13" t="inlineStr">
        <is>
          <t>설계</t>
        </is>
      </c>
      <c r="F13" s="13" t="inlineStr">
        <is>
          <t>구현(제외 제외)</t>
        </is>
      </c>
      <c r="G13" s="13" t="inlineStr">
        <is>
          <t>테스트</t>
        </is>
      </c>
      <c r="H13" s="13" t="inlineStr">
        <is>
          <t>인도</t>
        </is>
      </c>
      <c r="I13" s="13" t="inlineStr">
        <is>
          <t>Must SP</t>
        </is>
      </c>
      <c r="J13" s="13" t="inlineStr">
        <is>
          <t>Must 완료</t>
        </is>
      </c>
    </row>
    <row r="14" ht="28" customHeight="1">
      <c r="B14" s="3" t="inlineStr">
        <is>
          <t>진척</t>
        </is>
      </c>
      <c r="C14" s="14">
        <f>집계!C20</f>
        <v/>
      </c>
      <c r="D14" s="14">
        <f>집계!D10</f>
        <v/>
      </c>
      <c r="E14" s="14">
        <f>집계!D11</f>
        <v/>
      </c>
      <c r="F14" s="14">
        <f>집계!D12</f>
        <v/>
      </c>
      <c r="G14" s="14">
        <f>집계!D13</f>
        <v/>
      </c>
      <c r="H14" s="14">
        <f>집계!D14</f>
        <v/>
      </c>
      <c r="I14" s="14">
        <f>집계!C16</f>
        <v/>
      </c>
      <c r="J14" s="15">
        <f>TEXT(집계!B16,"0")&amp;" / "&amp;TEXT(집계!A16,"0")&amp;" SP"</f>
        <v/>
      </c>
    </row>
    <row r="15" ht="18" customHeight="1">
      <c r="C15" s="16">
        <f>TEXT(집계!B20,"0.0")&amp;" / "&amp;TEXT(집계!A20,"0.0")&amp;"인일"</f>
        <v/>
      </c>
      <c r="D15" s="16">
        <f>TEXT(집계!C10,"0.0")&amp;"/"&amp;TEXT(집계!B10,"0.0")</f>
        <v/>
      </c>
      <c r="E15" s="16">
        <f>TEXT(집계!C11,"0.0")&amp;"/"&amp;TEXT(집계!B11,"0.0")</f>
        <v/>
      </c>
      <c r="F15" s="16">
        <f>TEXT(집계!C12,"0.0")&amp;"/"&amp;TEXT(집계!B12,"0.0")</f>
        <v/>
      </c>
      <c r="G15" s="16">
        <f>TEXT(집계!C13,"0.0")&amp;"/"&amp;TEXT(집계!B13,"0.0")</f>
        <v/>
      </c>
      <c r="H15" s="16">
        <f>TEXT(집계!C14,"0.0")&amp;"/"&amp;TEXT(집계!B14,"0.0")</f>
        <v/>
      </c>
      <c r="I15" s="16" t="inlineStr">
        <is>
          <t>Must 완료율</t>
        </is>
      </c>
      <c r="J15" s="16" t="inlineStr">
        <is>
          <t>완료 SP / 계획 SP</t>
        </is>
      </c>
    </row>
    <row r="17">
      <c r="B17" s="11" t="inlineStr">
        <is>
          <t>단계별 인일 (계획 vs 획득)</t>
        </is>
      </c>
      <c r="G17" s="11" t="inlineStr">
        <is>
          <t>구현 스프린트 Must SP</t>
        </is>
      </c>
    </row>
    <row r="19">
      <c r="B19" s="11" t="inlineStr">
        <is>
          <t>이번 주 초점</t>
        </is>
      </c>
    </row>
    <row r="20">
      <c r="B20" s="17">
        <f>IF(C9&lt;=3,"분석 산출물은 완료(M1)입니다. 남은 분석 주가 있으면 미결 목록만 정리하고, 주 4 설계 게이트(스택·표본 수·계획 대체·임계 기본값) 안건을 미리 적으세요.",IF(C9=4,"S-D1: 스택·화면 IA 6개·ERD 초안. 조찬희=와이어, 기경현=아키텍처·용량.",IF(C9=5,"S-D2 게이트: API·규칙 R01–R12·프로토타입 3화면. 미결 1~7을 닫아야 S1을 시작합니다.",IF(C9=6,"S1 데모: 관리자/운영자 로그인, 운영자는 설정 메뉴 없음. EN 기반+US-ADM-01.",IF(C9=7,"S2 데모: 인천 표본 상태가 쌓이고 쿼터 숫자가 보이며 원본이 별도 저장된다.",IF(C9=8,"S3 데모: 시드 계획이 붙은 교차로에서 엔진이 등급을 남긴다.",IF(C9=9,"S4 데모: 급변·중복·계획 불일치가 이슈/보정으로 갈리고 원본은 그대로다.",IF(C9=10,"S5 데모: 대시보드에 오류 수·자동보정·미처리 이슈, 목록에서 ACK.",IF(C9=11,"S6 통합+커트. 시연 Must(상세·정보/계획 통제·현장 요청·원본 병기)를 남기고 금요일 기능 동결.",IF(C9=12,"S-T1: 테스트 계획·규칙 단위·API 권한·원본 불변·E2E 착수.",IF(C9=13,"S-T2: 성능 3초·보안 점검·치명/주요 0. M6 게이트.",IF(C9=14,"S-R1: 잔여 결함, 매뉴얼, 설치 가이드. 신규 Must 없음.","S-R2: 시연 대본 5.1~5.4, 발표, 재설치 검증. M7 인도."))))))))))))</f>
        <v/>
      </c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4">
      <c r="B24" s="11" t="inlineStr">
        <is>
          <t>마일스톤</t>
        </is>
      </c>
    </row>
    <row r="25">
      <c r="B25" s="3" t="inlineStr">
        <is>
          <t>ID</t>
        </is>
      </c>
      <c r="C25" s="3" t="inlineStr">
        <is>
          <t>주</t>
        </is>
      </c>
      <c r="D25" s="3" t="inlineStr">
        <is>
          <t>이름</t>
        </is>
      </c>
      <c r="E25" s="3" t="inlineStr">
        <is>
          <t>통과 조건</t>
        </is>
      </c>
      <c r="F25" s="3" t="inlineStr">
        <is>
          <t>상태</t>
        </is>
      </c>
      <c r="G25" s="3" t="inlineStr">
        <is>
          <t>실적일</t>
        </is>
      </c>
      <c r="I25" s="19" t="inlineStr">
        <is>
          <t>용량 메모
· 분석 12 / 설계 8 / 구현 36 / 테스트 8 / 안정화 8 ≈ 72인일
· 구현 속도 16 SP/주 × 6주 = 96 SP (Must와 동일)
· S5는 17SP(1점 초과) → ISS 화면 축소
· S6는 29SP → 통합+커트. 시연 Must 5개는 남김
· US-PLN-02는 승인 전 커밋하지 않음</t>
        </is>
      </c>
    </row>
    <row r="26">
      <c r="B26" s="20">
        <f>마일스톤!A2</f>
        <v/>
      </c>
      <c r="C26" s="20">
        <f>마일스톤!B2</f>
        <v/>
      </c>
      <c r="D26" s="20">
        <f>마일스톤!C2</f>
        <v/>
      </c>
      <c r="E26" s="21">
        <f>마일스톤!D2</f>
        <v/>
      </c>
      <c r="F26" s="20" t="n"/>
      <c r="G26" s="20">
        <f>마일스톤!E2</f>
        <v/>
      </c>
      <c r="H26" s="22">
        <f>마일스톤!F2</f>
        <v/>
      </c>
    </row>
    <row r="27">
      <c r="B27" s="23">
        <f>마일스톤!A3</f>
        <v/>
      </c>
      <c r="C27" s="23">
        <f>마일스톤!B3</f>
        <v/>
      </c>
      <c r="D27" s="23">
        <f>마일스톤!C3</f>
        <v/>
      </c>
      <c r="E27" s="24">
        <f>마일스톤!D3</f>
        <v/>
      </c>
      <c r="F27" s="23" t="n"/>
      <c r="G27" s="23">
        <f>마일스톤!E3</f>
        <v/>
      </c>
      <c r="H27" s="25">
        <f>마일스톤!F3</f>
        <v/>
      </c>
    </row>
    <row r="28">
      <c r="B28" s="20">
        <f>마일스톤!A4</f>
        <v/>
      </c>
      <c r="C28" s="20">
        <f>마일스톤!B4</f>
        <v/>
      </c>
      <c r="D28" s="20">
        <f>마일스톤!C4</f>
        <v/>
      </c>
      <c r="E28" s="21">
        <f>마일스톤!D4</f>
        <v/>
      </c>
      <c r="F28" s="20" t="n"/>
      <c r="G28" s="20">
        <f>마일스톤!E4</f>
        <v/>
      </c>
      <c r="H28" s="22">
        <f>마일스톤!F4</f>
        <v/>
      </c>
    </row>
    <row r="29">
      <c r="B29" s="23">
        <f>마일스톤!A5</f>
        <v/>
      </c>
      <c r="C29" s="23">
        <f>마일스톤!B5</f>
        <v/>
      </c>
      <c r="D29" s="23">
        <f>마일스톤!C5</f>
        <v/>
      </c>
      <c r="E29" s="24">
        <f>마일스톤!D5</f>
        <v/>
      </c>
      <c r="F29" s="23" t="n"/>
      <c r="G29" s="23">
        <f>마일스톤!E5</f>
        <v/>
      </c>
      <c r="H29" s="25">
        <f>마일스톤!F5</f>
        <v/>
      </c>
    </row>
    <row r="30">
      <c r="B30" s="20">
        <f>마일스톤!A6</f>
        <v/>
      </c>
      <c r="C30" s="20">
        <f>마일스톤!B6</f>
        <v/>
      </c>
      <c r="D30" s="20">
        <f>마일스톤!C6</f>
        <v/>
      </c>
      <c r="E30" s="21">
        <f>마일스톤!D6</f>
        <v/>
      </c>
      <c r="F30" s="20" t="n"/>
      <c r="G30" s="20">
        <f>마일스톤!E6</f>
        <v/>
      </c>
      <c r="H30" s="22">
        <f>마일스톤!F6</f>
        <v/>
      </c>
    </row>
    <row r="31">
      <c r="B31" s="23">
        <f>마일스톤!A7</f>
        <v/>
      </c>
      <c r="C31" s="23">
        <f>마일스톤!B7</f>
        <v/>
      </c>
      <c r="D31" s="23">
        <f>마일스톤!C7</f>
        <v/>
      </c>
      <c r="E31" s="24">
        <f>마일스톤!D7</f>
        <v/>
      </c>
      <c r="F31" s="23" t="n"/>
      <c r="G31" s="23">
        <f>마일스톤!E7</f>
        <v/>
      </c>
      <c r="H31" s="25">
        <f>마일스톤!F7</f>
        <v/>
      </c>
    </row>
    <row r="32">
      <c r="B32" s="20">
        <f>마일스톤!A8</f>
        <v/>
      </c>
      <c r="C32" s="20">
        <f>마일스톤!B8</f>
        <v/>
      </c>
      <c r="D32" s="20">
        <f>마일스톤!C8</f>
        <v/>
      </c>
      <c r="E32" s="21">
        <f>마일스톤!D8</f>
        <v/>
      </c>
      <c r="F32" s="20" t="n"/>
      <c r="G32" s="20">
        <f>마일스톤!E8</f>
        <v/>
      </c>
      <c r="H32" s="22">
        <f>마일스톤!F8</f>
        <v/>
      </c>
    </row>
    <row r="34">
      <c r="B34" s="11" t="inlineStr">
        <is>
          <t>역할별 구현 주 부하 (백로그 주 담당 기준, Must+EN)</t>
        </is>
      </c>
    </row>
    <row r="45">
      <c r="B45" s="26" t="inlineStr">
        <is>
          <t>차트 출처: 집계 시트 (WBS 인일 · 제품백로그 SP). 완료로 바꾸면 주황/획득 막대가 올라갑니다. 가로 점선 용량 16SP는 S2–S6 기준.</t>
        </is>
      </c>
    </row>
    <row r="46">
      <c r="B46" s="11" t="inlineStr">
        <is>
          <t>주간 갱신 체크</t>
        </is>
      </c>
    </row>
    <row r="47">
      <c r="B47" s="27" t="inlineStr">
        <is>
          <t>□</t>
        </is>
      </c>
      <c r="C47" s="28" t="inlineStr">
        <is>
          <t>WBS에서 이번 주 패키지 상태를 진행중/완료로 바꾼다</t>
        </is>
      </c>
    </row>
    <row r="48">
      <c r="B48" s="27" t="inlineStr">
        <is>
          <t>□</t>
        </is>
      </c>
      <c r="C48" s="28" t="inlineStr">
        <is>
          <t>제품백로그에서 닫은 US/EN을 완료로 바꾸고 진행률 100%를 넣는다</t>
        </is>
      </c>
    </row>
    <row r="49">
      <c r="B49" s="27" t="inlineStr">
        <is>
          <t>□</t>
        </is>
      </c>
      <c r="C49" s="28" t="inlineStr">
        <is>
          <t>스프린트 시트의 실제완료SP와 상태를 맞춘다</t>
        </is>
      </c>
    </row>
    <row r="50">
      <c r="B50" s="27" t="inlineStr">
        <is>
          <t>□</t>
        </is>
      </c>
      <c r="C50" s="28" t="inlineStr">
        <is>
          <t>마일스톤 게이트를 통과했으면 상태와 실적일을 적는다</t>
        </is>
      </c>
    </row>
    <row r="51">
      <c r="B51" s="27" t="inlineStr">
        <is>
          <t>□</t>
        </is>
      </c>
      <c r="C51" s="28" t="inlineStr">
        <is>
          <t>위험 시트에 UTIC 승인·쿼터 소진을 한 줄 갱신한다</t>
        </is>
      </c>
    </row>
    <row r="52">
      <c r="B52" s="27" t="inlineStr">
        <is>
          <t>□</t>
        </is>
      </c>
      <c r="C52" s="28" t="inlineStr">
        <is>
          <t>대시보드 현재 주차·진척률이 직관과 맞는지 확인한다</t>
        </is>
      </c>
    </row>
  </sheetData>
  <mergeCells count="30">
    <mergeCell ref="C47:H47"/>
    <mergeCell ref="C50:H50"/>
    <mergeCell ref="C9:E9"/>
    <mergeCell ref="I25:J32"/>
    <mergeCell ref="C51:H51"/>
    <mergeCell ref="B34:J34"/>
    <mergeCell ref="E29:F29"/>
    <mergeCell ref="C52:H52"/>
    <mergeCell ref="C8:E8"/>
    <mergeCell ref="E28:F28"/>
    <mergeCell ref="C48:H48"/>
    <mergeCell ref="C7:E7"/>
    <mergeCell ref="E31:F31"/>
    <mergeCell ref="F8:J8"/>
    <mergeCell ref="E30:F30"/>
    <mergeCell ref="G17:J17"/>
    <mergeCell ref="B45:J45"/>
    <mergeCell ref="E27:F27"/>
    <mergeCell ref="C49:H49"/>
    <mergeCell ref="E26:F26"/>
    <mergeCell ref="B20:J22"/>
    <mergeCell ref="C6:E6"/>
    <mergeCell ref="B17:E17"/>
    <mergeCell ref="B3:J3"/>
    <mergeCell ref="C5:E5"/>
    <mergeCell ref="E32:F32"/>
    <mergeCell ref="F5:J6"/>
    <mergeCell ref="B12:J12"/>
    <mergeCell ref="B2:J2"/>
    <mergeCell ref="C10:E10"/>
  </mergeCells>
  <conditionalFormatting sqref="G26:G32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printOptions gridLines="0"/>
  <pageMargins left="0.4" right="0.4" top="0.6" bottom="0.5" header="0.25" footer="0.25"/>
  <pageSetup orientation="landscape" paperSize="9" fitToHeight="1" fitToWidth="1"/>
  <headerFooter>
    <oddHeader>&amp;L&amp;8대시보드&amp;R&amp;8Signal Guard · 백로그WBS v1.0</oddHeader>
    <oddFooter>&amp;L&amp;8수업용 MVP · 작성 2026-09-12&amp;R&amp;8&amp;P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B2:D4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  <col width="22" customWidth="1" min="4" max="4"/>
  </cols>
  <sheetData>
    <row r="2">
      <c r="B2" s="1" t="inlineStr">
        <is>
          <t>Signal Guard 계획·진행 표</t>
        </is>
      </c>
    </row>
    <row r="3">
      <c r="B3" s="29" t="inlineStr">
        <is>
          <t>실시간 교통신호 상태정보 오류검지 시스템 · 15주 수업 MVP</t>
        </is>
      </c>
    </row>
    <row r="5">
      <c r="B5" s="30" t="inlineStr">
        <is>
          <t>근거</t>
        </is>
      </c>
      <c r="C5" s="31" t="inlineStr">
        <is>
          <t>백로그WBS.md v1.0 (2026-09-12), 프로젝트정의서 12장</t>
        </is>
      </c>
      <c r="D5" s="32" t="n"/>
    </row>
    <row r="6">
      <c r="B6" s="30" t="inlineStr">
        <is>
          <t>작성</t>
        </is>
      </c>
      <c r="C6" s="31" t="inlineStr">
        <is>
          <t>조찬희 (기획·FE·PM), 기경현 (BE·데이터)</t>
        </is>
      </c>
      <c r="D6" s="32" t="n"/>
    </row>
    <row r="7">
      <c r="B7" s="30" t="inlineStr">
        <is>
          <t>기준일</t>
        </is>
      </c>
      <c r="C7" s="31" t="inlineStr">
        <is>
          <t>2026-09-12 — 분석 산출물 완료(M1). 설계(주 4) 미착수</t>
        </is>
      </c>
      <c r="D7" s="32" t="n"/>
    </row>
    <row r="8">
      <c r="B8" s="30" t="inlineStr">
        <is>
          <t>쓰는 법</t>
        </is>
      </c>
      <c r="C8" s="31" t="inlineStr">
        <is>
          <t>매주 리뷰에서 WBS·백로그의 상태/진행률만 고치면 대시보드·간트가 수식으로 갱신됩니다.</t>
        </is>
      </c>
      <c r="D8" s="32" t="n"/>
    </row>
    <row r="10">
      <c r="B10" s="11" t="inlineStr">
        <is>
          <t>시트 구성</t>
        </is>
      </c>
    </row>
    <row r="11">
      <c r="B11" s="33" t="inlineStr">
        <is>
          <t>시트</t>
        </is>
      </c>
      <c r="C11" s="33" t="inlineStr">
        <is>
          <t>역할</t>
        </is>
      </c>
      <c r="D11" s="34" t="n"/>
    </row>
    <row r="12">
      <c r="B12" s="35" t="inlineStr">
        <is>
          <t>대시보드</t>
        </is>
      </c>
      <c r="C12" s="36" t="inlineStr">
        <is>
          <t>전체 진척·단계별 인일·Must SP·마일스톤. 숫자 칸은 수식이므로 직접 고치지 마세요.</t>
        </is>
      </c>
      <c r="D12" s="5" t="n"/>
    </row>
    <row r="13">
      <c r="B13" s="37" t="inlineStr">
        <is>
          <t>주차별계획</t>
        </is>
      </c>
      <c r="C13" s="38" t="inlineStr">
        <is>
          <t>15주 간트. 상태 열만 고치면 막대 색이 바뀝니다. 1주차 시작일은 대시보드 C8에서 바꿉니다.</t>
        </is>
      </c>
      <c r="D13" s="39" t="n"/>
    </row>
    <row r="14">
      <c r="B14" s="35" t="inlineStr">
        <is>
          <t>WBS</t>
        </is>
      </c>
      <c r="C14" s="36" t="inlineStr">
        <is>
          <t>작업 패키지 단위 진행. 주간 리뷰의 주 입력 시트입니다.</t>
        </is>
      </c>
      <c r="D14" s="5" t="n"/>
    </row>
    <row r="15">
      <c r="B15" s="37" t="inlineStr">
        <is>
          <t>제품백로그</t>
        </is>
      </c>
      <c r="C15" s="38" t="inlineStr">
        <is>
          <t>EN + US 33건. Must 96SP가 용량(6주×16)과 같습니다.</t>
        </is>
      </c>
      <c r="D15" s="39" t="n"/>
    </row>
    <row r="16">
      <c r="B16" s="35" t="inlineStr">
        <is>
          <t>스프린트</t>
        </is>
      </c>
      <c r="C16" s="36" t="inlineStr">
        <is>
          <t>S0 ~ S-R2 목표·담당·완료 시 데모·커밋 목록.</t>
        </is>
      </c>
      <c r="D16" s="5" t="n"/>
    </row>
    <row r="17">
      <c r="B17" s="37" t="inlineStr">
        <is>
          <t>마일스톤</t>
        </is>
      </c>
      <c r="C17" s="38" t="inlineStr">
        <is>
          <t>M1–M7 게이트. M1은 분석 산출물 완료로 표시했습니다.</t>
        </is>
      </c>
      <c r="D17" s="39" t="n"/>
    </row>
    <row r="18">
      <c r="B18" s="35" t="inlineStr">
        <is>
          <t>위험</t>
        </is>
      </c>
      <c r="C18" s="36" t="inlineStr">
        <is>
          <t>UTIC·쿼터·S6 용량 등 버퍼와 완화.</t>
        </is>
      </c>
      <c r="D18" s="5" t="n"/>
    </row>
    <row r="19">
      <c r="B19" s="37" t="inlineStr">
        <is>
          <t>집계</t>
        </is>
      </c>
      <c r="C19" s="38" t="inlineStr">
        <is>
          <t>차트·대시보드용 피벗. 편집하지 마세요.</t>
        </is>
      </c>
      <c r="D19" s="39" t="n"/>
    </row>
    <row r="22">
      <c r="B22" s="11" t="inlineStr">
        <is>
          <t>상태 값 (드롭다운)</t>
        </is>
      </c>
    </row>
    <row r="23">
      <c r="B23" s="33" t="inlineStr">
        <is>
          <t>상태</t>
        </is>
      </c>
      <c r="C23" s="33" t="inlineStr">
        <is>
          <t>의미</t>
        </is>
      </c>
      <c r="D23" s="34" t="n"/>
    </row>
    <row r="24">
      <c r="B24" s="40" t="inlineStr">
        <is>
          <t>완료</t>
        </is>
      </c>
      <c r="C24" s="38" t="inlineStr">
        <is>
          <t>수용 기준·산출물이 DoD를 만족. FE+BE 스토리는 둘 다 Done.</t>
        </is>
      </c>
      <c r="D24" s="39" t="n"/>
    </row>
    <row r="25">
      <c r="B25" s="41" t="inlineStr">
        <is>
          <t>진행중</t>
        </is>
      </c>
      <c r="C25" s="38" t="inlineStr">
        <is>
          <t>이번 스프린트에서 작업 중. 진행률(0~100%)을 같이 적습니다.</t>
        </is>
      </c>
      <c r="D25" s="39" t="n"/>
    </row>
    <row r="26">
      <c r="B26" s="42" t="inlineStr">
        <is>
          <t>대기</t>
        </is>
      </c>
      <c r="C26" s="38" t="inlineStr">
        <is>
          <t>아직 스프린트에 넣지 않았거나 선행이 안 끝남.</t>
        </is>
      </c>
      <c r="D26" s="39" t="n"/>
    </row>
    <row r="27">
      <c r="B27" s="43" t="inlineStr">
        <is>
          <t>보류</t>
        </is>
      </c>
      <c r="C27" s="38" t="inlineStr">
        <is>
          <t>Should/조건부. 승인·여유 주가 생기면 대기→진행중으로 바꿉니다.</t>
        </is>
      </c>
      <c r="D27" s="39" t="n"/>
    </row>
    <row r="28">
      <c r="B28" s="44" t="inlineStr">
        <is>
          <t>제외</t>
        </is>
      </c>
      <c r="C28" s="38" t="inlineStr">
        <is>
          <t>Could 또는 커트. 대시보드 분모에서 빠집니다. 결함이 아닙니다.</t>
        </is>
      </c>
      <c r="D28" s="39" t="n"/>
    </row>
    <row r="31">
      <c r="B31" s="11" t="inlineStr">
        <is>
          <t>용량이 넘칠 때 자르는 순서 (위일수록 시연에 덜 치명적)</t>
        </is>
      </c>
    </row>
    <row r="32">
      <c r="B32" s="28" t="inlineStr">
        <is>
          <t>1. US-MON-05, US-MON-04 (선택 — 이미 백로그 밖 취급 가능)</t>
        </is>
      </c>
    </row>
    <row r="33">
      <c r="B33" s="28" t="inlineStr">
        <is>
          <t>2. US-PLN-02 (UTIC 승인 없으면 자동 제외)</t>
        </is>
      </c>
    </row>
    <row r="34">
      <c r="B34" s="28" t="inlineStr">
        <is>
          <t>3. US-CTL-04 감시 제외</t>
        </is>
      </c>
    </row>
    <row r="35">
      <c r="B35" s="28" t="inlineStr">
        <is>
          <t>4. US-ADM-02 계정 CRUD (시드 계정 2개로 시연 가능)</t>
        </is>
      </c>
    </row>
    <row r="36">
      <c r="B36" s="28" t="inlineStr">
        <is>
          <t>5. US-RPT-02 CSV (화면 조회만으로 발표 가능)</t>
        </is>
      </c>
    </row>
    <row r="37">
      <c r="B37" s="28" t="inlineStr">
        <is>
          <t>6. US-PLN-04 ID 매핑 (시드에서 미리 매핑하면 대조 가능)</t>
        </is>
      </c>
    </row>
    <row r="39">
      <c r="B39" s="45" t="inlineStr">
        <is>
          <t>자르지 않는 것: 수집, 시드 계획, 규칙 엔진, 자동보정/이슈 분기, 대시보드, 이슈 생명주기, 정보·계획 통제, 현장 요청 기록, 원본 불변, 로그인 RBAC, 쿼터.</t>
        </is>
      </c>
    </row>
    <row r="40"/>
    <row r="42">
      <c r="B42" s="46" t="inlineStr">
        <is>
          <t>DoD 요약: 수용 기준 확인, FE는 API 연동, 권한 일치, 원본 수신을 덮어쓰는 경로 없음, PR 리뷰 1회 이상 메인 병합, 시크릿 없음. 분석·설계는 산출물이 저장소에 있고 팀 리뷰를 통과하면 Done.</t>
        </is>
      </c>
    </row>
    <row r="43"/>
  </sheetData>
  <mergeCells count="29">
    <mergeCell ref="C6:D6"/>
    <mergeCell ref="C24:D24"/>
    <mergeCell ref="C15:D15"/>
    <mergeCell ref="C5:D5"/>
    <mergeCell ref="C14:D14"/>
    <mergeCell ref="C26:D26"/>
    <mergeCell ref="B34:D34"/>
    <mergeCell ref="B37:D37"/>
    <mergeCell ref="C16:D16"/>
    <mergeCell ref="C25:D25"/>
    <mergeCell ref="B33:D33"/>
    <mergeCell ref="C12:D12"/>
    <mergeCell ref="B42:D43"/>
    <mergeCell ref="B36:D36"/>
    <mergeCell ref="C11:D11"/>
    <mergeCell ref="C27:D27"/>
    <mergeCell ref="B32:D32"/>
    <mergeCell ref="B35:D35"/>
    <mergeCell ref="B39:D40"/>
    <mergeCell ref="C23:D23"/>
    <mergeCell ref="C17:D17"/>
    <mergeCell ref="C8:D8"/>
    <mergeCell ref="B3:D3"/>
    <mergeCell ref="C7:D7"/>
    <mergeCell ref="C19:D19"/>
    <mergeCell ref="C28:D28"/>
    <mergeCell ref="C13:D13"/>
    <mergeCell ref="C18:D18"/>
    <mergeCell ref="B2:D2"/>
  </mergeCells>
  <printOptions gridLines="0"/>
  <pageMargins left="0.4" right="0.4" top="0.6" bottom="0.5" header="0.25" footer="0.25"/>
  <pageSetup orientation="portrait" paperSize="9" fitToHeight="0" fitToWidth="1"/>
  <headerFooter>
    <oddHeader>&amp;L&amp;8사용안내&amp;R&amp;8Signal Guard · 백로그WBS v1.0</oddHeader>
    <oddFooter>&amp;L&amp;8수업용 MVP · 작성 2026-09-12&amp;R&amp;8&amp;P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 fitToPage="1"/>
  </sheetPr>
  <dimension ref="A1:V31"/>
  <sheetViews>
    <sheetView showGridLines="0" zoomScale="10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28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</cols>
  <sheetData>
    <row r="1" ht="20" customHeight="1">
      <c r="A1" s="3" t="inlineStr">
        <is>
          <t>구분</t>
        </is>
      </c>
      <c r="B1" s="3" t="inlineStr">
        <is>
          <t>항목</t>
        </is>
      </c>
      <c r="C1" s="3" t="inlineStr">
        <is>
          <t>담당</t>
        </is>
      </c>
      <c r="D1" s="3" t="inlineStr">
        <is>
          <t>시작주</t>
        </is>
      </c>
      <c r="E1" s="3" t="inlineStr">
        <is>
          <t>종료주</t>
        </is>
      </c>
      <c r="F1" s="3" t="inlineStr">
        <is>
          <t>상태</t>
        </is>
      </c>
      <c r="G1" s="3" t="inlineStr">
        <is>
          <t>비고</t>
        </is>
      </c>
      <c r="H1" s="47" t="n">
        <v>1</v>
      </c>
      <c r="I1" s="47" t="n">
        <v>2</v>
      </c>
      <c r="J1" s="47" t="n">
        <v>3</v>
      </c>
      <c r="K1" s="47" t="n">
        <v>4</v>
      </c>
      <c r="L1" s="47" t="n">
        <v>5</v>
      </c>
      <c r="M1" s="47" t="n">
        <v>6</v>
      </c>
      <c r="N1" s="47" t="n">
        <v>7</v>
      </c>
      <c r="O1" s="47" t="n">
        <v>8</v>
      </c>
      <c r="P1" s="47" t="n">
        <v>9</v>
      </c>
      <c r="Q1" s="47" t="n">
        <v>10</v>
      </c>
      <c r="R1" s="47" t="n">
        <v>11</v>
      </c>
      <c r="S1" s="47" t="n">
        <v>12</v>
      </c>
      <c r="T1" s="47" t="n">
        <v>13</v>
      </c>
      <c r="U1" s="47" t="n">
        <v>14</v>
      </c>
      <c r="V1" s="47" t="n">
        <v>15</v>
      </c>
    </row>
    <row r="2" ht="18" customHeight="1">
      <c r="A2" s="48" t="inlineStr">
        <is>
          <t>계획 기간</t>
        </is>
      </c>
      <c r="B2" s="48" t="n"/>
      <c r="C2" s="48" t="n"/>
      <c r="D2" s="48" t="n"/>
      <c r="E2" s="48" t="n"/>
      <c r="F2" s="48" t="n"/>
      <c r="G2" s="48" t="n"/>
      <c r="H2" s="49">
        <f>대시보드!$C$8+7*(1-1)</f>
        <v/>
      </c>
      <c r="I2" s="49">
        <f>대시보드!$C$8+7*(2-1)</f>
        <v/>
      </c>
      <c r="J2" s="49">
        <f>대시보드!$C$8+7*(3-1)</f>
        <v/>
      </c>
      <c r="K2" s="49">
        <f>대시보드!$C$8+7*(4-1)</f>
        <v/>
      </c>
      <c r="L2" s="49">
        <f>대시보드!$C$8+7*(5-1)</f>
        <v/>
      </c>
      <c r="M2" s="49">
        <f>대시보드!$C$8+7*(6-1)</f>
        <v/>
      </c>
      <c r="N2" s="49">
        <f>대시보드!$C$8+7*(7-1)</f>
        <v/>
      </c>
      <c r="O2" s="49">
        <f>대시보드!$C$8+7*(8-1)</f>
        <v/>
      </c>
      <c r="P2" s="49">
        <f>대시보드!$C$8+7*(9-1)</f>
        <v/>
      </c>
      <c r="Q2" s="49">
        <f>대시보드!$C$8+7*(10-1)</f>
        <v/>
      </c>
      <c r="R2" s="49">
        <f>대시보드!$C$8+7*(11-1)</f>
        <v/>
      </c>
      <c r="S2" s="49">
        <f>대시보드!$C$8+7*(12-1)</f>
        <v/>
      </c>
      <c r="T2" s="49">
        <f>대시보드!$C$8+7*(13-1)</f>
        <v/>
      </c>
      <c r="U2" s="49">
        <f>대시보드!$C$8+7*(14-1)</f>
        <v/>
      </c>
      <c r="V2" s="49">
        <f>대시보드!$C$8+7*(15-1)</f>
        <v/>
      </c>
    </row>
    <row r="3" ht="18" customHeight="1">
      <c r="A3" s="50" t="inlineStr">
        <is>
          <t>단계</t>
        </is>
      </c>
      <c r="B3" s="51" t="inlineStr">
        <is>
          <t>분석</t>
        </is>
      </c>
      <c r="C3" s="50" t="inlineStr">
        <is>
          <t>공동</t>
        </is>
      </c>
      <c r="D3" s="50" t="n">
        <v>1</v>
      </c>
      <c r="E3" s="50" t="n">
        <v>3</v>
      </c>
      <c r="F3" s="50" t="inlineStr">
        <is>
          <t>완료</t>
        </is>
      </c>
      <c r="G3" s="51" t="inlineStr">
        <is>
          <t>산출물 5종</t>
        </is>
      </c>
      <c r="H3" s="52">
        <f>IF(AND(1&gt;=$D3,1&lt;=$E3),IF($F3="완료","●",IF($F3="진행중","▶",IF($F3="제외",".",IF($F3="보류","◇","■")))),"")</f>
        <v/>
      </c>
      <c r="I3" s="52">
        <f>IF(AND(2&gt;=$D3,2&lt;=$E3),IF($F3="완료","●",IF($F3="진행중","▶",IF($F3="제외",".",IF($F3="보류","◇","■")))),"")</f>
        <v/>
      </c>
      <c r="J3" s="52">
        <f>IF(AND(3&gt;=$D3,3&lt;=$E3),IF($F3="완료","●",IF($F3="진행중","▶",IF($F3="제외",".",IF($F3="보류","◇","■")))),"")</f>
        <v/>
      </c>
      <c r="K3" s="52">
        <f>IF(AND(4&gt;=$D3,4&lt;=$E3),IF($F3="완료","●",IF($F3="진행중","▶",IF($F3="제외",".",IF($F3="보류","◇","■")))),"")</f>
        <v/>
      </c>
      <c r="L3" s="52">
        <f>IF(AND(5&gt;=$D3,5&lt;=$E3),IF($F3="완료","●",IF($F3="진행중","▶",IF($F3="제외",".",IF($F3="보류","◇","■")))),"")</f>
        <v/>
      </c>
      <c r="M3" s="52">
        <f>IF(AND(6&gt;=$D3,6&lt;=$E3),IF($F3="완료","●",IF($F3="진행중","▶",IF($F3="제외",".",IF($F3="보류","◇","■")))),"")</f>
        <v/>
      </c>
      <c r="N3" s="52">
        <f>IF(AND(7&gt;=$D3,7&lt;=$E3),IF($F3="완료","●",IF($F3="진행중","▶",IF($F3="제외",".",IF($F3="보류","◇","■")))),"")</f>
        <v/>
      </c>
      <c r="O3" s="52">
        <f>IF(AND(8&gt;=$D3,8&lt;=$E3),IF($F3="완료","●",IF($F3="진행중","▶",IF($F3="제외",".",IF($F3="보류","◇","■")))),"")</f>
        <v/>
      </c>
      <c r="P3" s="52">
        <f>IF(AND(9&gt;=$D3,9&lt;=$E3),IF($F3="완료","●",IF($F3="진행중","▶",IF($F3="제외",".",IF($F3="보류","◇","■")))),"")</f>
        <v/>
      </c>
      <c r="Q3" s="52">
        <f>IF(AND(10&gt;=$D3,10&lt;=$E3),IF($F3="완료","●",IF($F3="진행중","▶",IF($F3="제외",".",IF($F3="보류","◇","■")))),"")</f>
        <v/>
      </c>
      <c r="R3" s="52">
        <f>IF(AND(11&gt;=$D3,11&lt;=$E3),IF($F3="완료","●",IF($F3="진행중","▶",IF($F3="제외",".",IF($F3="보류","◇","■")))),"")</f>
        <v/>
      </c>
      <c r="S3" s="52">
        <f>IF(AND(12&gt;=$D3,12&lt;=$E3),IF($F3="완료","●",IF($F3="진행중","▶",IF($F3="제외",".",IF($F3="보류","◇","■")))),"")</f>
        <v/>
      </c>
      <c r="T3" s="52">
        <f>IF(AND(13&gt;=$D3,13&lt;=$E3),IF($F3="완료","●",IF($F3="진행중","▶",IF($F3="제외",".",IF($F3="보류","◇","■")))),"")</f>
        <v/>
      </c>
      <c r="U3" s="52">
        <f>IF(AND(14&gt;=$D3,14&lt;=$E3),IF($F3="완료","●",IF($F3="진행중","▶",IF($F3="제외",".",IF($F3="보류","◇","■")))),"")</f>
        <v/>
      </c>
      <c r="V3" s="52">
        <f>IF(AND(15&gt;=$D3,15&lt;=$E3),IF($F3="완료","●",IF($F3="진행중","▶",IF($F3="제외",".",IF($F3="보류","◇","■")))),"")</f>
        <v/>
      </c>
    </row>
    <row r="4" ht="18" customHeight="1">
      <c r="A4" s="50" t="inlineStr">
        <is>
          <t>단계</t>
        </is>
      </c>
      <c r="B4" s="51" t="inlineStr">
        <is>
          <t>설계</t>
        </is>
      </c>
      <c r="C4" s="50" t="inlineStr">
        <is>
          <t>공동</t>
        </is>
      </c>
      <c r="D4" s="50" t="n">
        <v>4</v>
      </c>
      <c r="E4" s="50" t="n">
        <v>5</v>
      </c>
      <c r="F4" s="50" t="inlineStr">
        <is>
          <t>대기</t>
        </is>
      </c>
      <c r="G4" s="51" t="inlineStr">
        <is>
          <t>주 5 말 게이트</t>
        </is>
      </c>
      <c r="H4" s="52">
        <f>IF(AND(1&gt;=$D4,1&lt;=$E4),IF($F4="완료","●",IF($F4="진행중","▶",IF($F4="제외",".",IF($F4="보류","◇","■")))),"")</f>
        <v/>
      </c>
      <c r="I4" s="52">
        <f>IF(AND(2&gt;=$D4,2&lt;=$E4),IF($F4="완료","●",IF($F4="진행중","▶",IF($F4="제외",".",IF($F4="보류","◇","■")))),"")</f>
        <v/>
      </c>
      <c r="J4" s="52">
        <f>IF(AND(3&gt;=$D4,3&lt;=$E4),IF($F4="완료","●",IF($F4="진행중","▶",IF($F4="제외",".",IF($F4="보류","◇","■")))),"")</f>
        <v/>
      </c>
      <c r="K4" s="52">
        <f>IF(AND(4&gt;=$D4,4&lt;=$E4),IF($F4="완료","●",IF($F4="진행중","▶",IF($F4="제외",".",IF($F4="보류","◇","■")))),"")</f>
        <v/>
      </c>
      <c r="L4" s="52">
        <f>IF(AND(5&gt;=$D4,5&lt;=$E4),IF($F4="완료","●",IF($F4="진행중","▶",IF($F4="제외",".",IF($F4="보류","◇","■")))),"")</f>
        <v/>
      </c>
      <c r="M4" s="52">
        <f>IF(AND(6&gt;=$D4,6&lt;=$E4),IF($F4="완료","●",IF($F4="진행중","▶",IF($F4="제외",".",IF($F4="보류","◇","■")))),"")</f>
        <v/>
      </c>
      <c r="N4" s="52">
        <f>IF(AND(7&gt;=$D4,7&lt;=$E4),IF($F4="완료","●",IF($F4="진행중","▶",IF($F4="제외",".",IF($F4="보류","◇","■")))),"")</f>
        <v/>
      </c>
      <c r="O4" s="52">
        <f>IF(AND(8&gt;=$D4,8&lt;=$E4),IF($F4="완료","●",IF($F4="진행중","▶",IF($F4="제외",".",IF($F4="보류","◇","■")))),"")</f>
        <v/>
      </c>
      <c r="P4" s="52">
        <f>IF(AND(9&gt;=$D4,9&lt;=$E4),IF($F4="완료","●",IF($F4="진행중","▶",IF($F4="제외",".",IF($F4="보류","◇","■")))),"")</f>
        <v/>
      </c>
      <c r="Q4" s="52">
        <f>IF(AND(10&gt;=$D4,10&lt;=$E4),IF($F4="완료","●",IF($F4="진행중","▶",IF($F4="제외",".",IF($F4="보류","◇","■")))),"")</f>
        <v/>
      </c>
      <c r="R4" s="52">
        <f>IF(AND(11&gt;=$D4,11&lt;=$E4),IF($F4="완료","●",IF($F4="진행중","▶",IF($F4="제외",".",IF($F4="보류","◇","■")))),"")</f>
        <v/>
      </c>
      <c r="S4" s="52">
        <f>IF(AND(12&gt;=$D4,12&lt;=$E4),IF($F4="완료","●",IF($F4="진행중","▶",IF($F4="제외",".",IF($F4="보류","◇","■")))),"")</f>
        <v/>
      </c>
      <c r="T4" s="52">
        <f>IF(AND(13&gt;=$D4,13&lt;=$E4),IF($F4="완료","●",IF($F4="진행중","▶",IF($F4="제외",".",IF($F4="보류","◇","■")))),"")</f>
        <v/>
      </c>
      <c r="U4" s="52">
        <f>IF(AND(14&gt;=$D4,14&lt;=$E4),IF($F4="완료","●",IF($F4="진행중","▶",IF($F4="제외",".",IF($F4="보류","◇","■")))),"")</f>
        <v/>
      </c>
      <c r="V4" s="52">
        <f>IF(AND(15&gt;=$D4,15&lt;=$E4),IF($F4="완료","●",IF($F4="진행중","▶",IF($F4="제외",".",IF($F4="보류","◇","■")))),"")</f>
        <v/>
      </c>
    </row>
    <row r="5" ht="18" customHeight="1">
      <c r="A5" s="50" t="inlineStr">
        <is>
          <t>단계</t>
        </is>
      </c>
      <c r="B5" s="51" t="inlineStr">
        <is>
          <t>구현 (S1–S6)</t>
        </is>
      </c>
      <c r="C5" s="50" t="inlineStr">
        <is>
          <t>공동</t>
        </is>
      </c>
      <c r="D5" s="50" t="n">
        <v>6</v>
      </c>
      <c r="E5" s="50" t="n">
        <v>11</v>
      </c>
      <c r="F5" s="50" t="inlineStr">
        <is>
          <t>대기</t>
        </is>
      </c>
      <c r="G5" s="51" t="inlineStr">
        <is>
          <t>11주 말 기능 동결</t>
        </is>
      </c>
      <c r="H5" s="52">
        <f>IF(AND(1&gt;=$D5,1&lt;=$E5),IF($F5="완료","●",IF($F5="진행중","▶",IF($F5="제외",".",IF($F5="보류","◇","■")))),"")</f>
        <v/>
      </c>
      <c r="I5" s="52">
        <f>IF(AND(2&gt;=$D5,2&lt;=$E5),IF($F5="완료","●",IF($F5="진행중","▶",IF($F5="제외",".",IF($F5="보류","◇","■")))),"")</f>
        <v/>
      </c>
      <c r="J5" s="52">
        <f>IF(AND(3&gt;=$D5,3&lt;=$E5),IF($F5="완료","●",IF($F5="진행중","▶",IF($F5="제외",".",IF($F5="보류","◇","■")))),"")</f>
        <v/>
      </c>
      <c r="K5" s="52">
        <f>IF(AND(4&gt;=$D5,4&lt;=$E5),IF($F5="완료","●",IF($F5="진행중","▶",IF($F5="제외",".",IF($F5="보류","◇","■")))),"")</f>
        <v/>
      </c>
      <c r="L5" s="52">
        <f>IF(AND(5&gt;=$D5,5&lt;=$E5),IF($F5="완료","●",IF($F5="진행중","▶",IF($F5="제외",".",IF($F5="보류","◇","■")))),"")</f>
        <v/>
      </c>
      <c r="M5" s="52">
        <f>IF(AND(6&gt;=$D5,6&lt;=$E5),IF($F5="완료","●",IF($F5="진행중","▶",IF($F5="제외",".",IF($F5="보류","◇","■")))),"")</f>
        <v/>
      </c>
      <c r="N5" s="52">
        <f>IF(AND(7&gt;=$D5,7&lt;=$E5),IF($F5="완료","●",IF($F5="진행중","▶",IF($F5="제외",".",IF($F5="보류","◇","■")))),"")</f>
        <v/>
      </c>
      <c r="O5" s="52">
        <f>IF(AND(8&gt;=$D5,8&lt;=$E5),IF($F5="완료","●",IF($F5="진행중","▶",IF($F5="제외",".",IF($F5="보류","◇","■")))),"")</f>
        <v/>
      </c>
      <c r="P5" s="52">
        <f>IF(AND(9&gt;=$D5,9&lt;=$E5),IF($F5="완료","●",IF($F5="진행중","▶",IF($F5="제외",".",IF($F5="보류","◇","■")))),"")</f>
        <v/>
      </c>
      <c r="Q5" s="52">
        <f>IF(AND(10&gt;=$D5,10&lt;=$E5),IF($F5="완료","●",IF($F5="진행중","▶",IF($F5="제외",".",IF($F5="보류","◇","■")))),"")</f>
        <v/>
      </c>
      <c r="R5" s="52">
        <f>IF(AND(11&gt;=$D5,11&lt;=$E5),IF($F5="완료","●",IF($F5="진행중","▶",IF($F5="제외",".",IF($F5="보류","◇","■")))),"")</f>
        <v/>
      </c>
      <c r="S5" s="52">
        <f>IF(AND(12&gt;=$D5,12&lt;=$E5),IF($F5="완료","●",IF($F5="진행중","▶",IF($F5="제외",".",IF($F5="보류","◇","■")))),"")</f>
        <v/>
      </c>
      <c r="T5" s="52">
        <f>IF(AND(13&gt;=$D5,13&lt;=$E5),IF($F5="완료","●",IF($F5="진행중","▶",IF($F5="제외",".",IF($F5="보류","◇","■")))),"")</f>
        <v/>
      </c>
      <c r="U5" s="52">
        <f>IF(AND(14&gt;=$D5,14&lt;=$E5),IF($F5="완료","●",IF($F5="진행중","▶",IF($F5="제외",".",IF($F5="보류","◇","■")))),"")</f>
        <v/>
      </c>
      <c r="V5" s="52">
        <f>IF(AND(15&gt;=$D5,15&lt;=$E5),IF($F5="완료","●",IF($F5="진행중","▶",IF($F5="제외",".",IF($F5="보류","◇","■")))),"")</f>
        <v/>
      </c>
    </row>
    <row r="6" ht="18" customHeight="1">
      <c r="A6" s="50" t="inlineStr">
        <is>
          <t>단계</t>
        </is>
      </c>
      <c r="B6" s="51" t="inlineStr">
        <is>
          <t>테스트</t>
        </is>
      </c>
      <c r="C6" s="50" t="inlineStr">
        <is>
          <t>공동</t>
        </is>
      </c>
      <c r="D6" s="50" t="n">
        <v>12</v>
      </c>
      <c r="E6" s="50" t="n">
        <v>13</v>
      </c>
      <c r="F6" s="50" t="inlineStr">
        <is>
          <t>대기</t>
        </is>
      </c>
      <c r="G6" s="51" t="inlineStr">
        <is>
          <t>필수 100% · 치명/주요 0</t>
        </is>
      </c>
      <c r="H6" s="52">
        <f>IF(AND(1&gt;=$D6,1&lt;=$E6),IF($F6="완료","●",IF($F6="진행중","▶",IF($F6="제외",".",IF($F6="보류","◇","■")))),"")</f>
        <v/>
      </c>
      <c r="I6" s="52">
        <f>IF(AND(2&gt;=$D6,2&lt;=$E6),IF($F6="완료","●",IF($F6="진행중","▶",IF($F6="제외",".",IF($F6="보류","◇","■")))),"")</f>
        <v/>
      </c>
      <c r="J6" s="52">
        <f>IF(AND(3&gt;=$D6,3&lt;=$E6),IF($F6="완료","●",IF($F6="진행중","▶",IF($F6="제외",".",IF($F6="보류","◇","■")))),"")</f>
        <v/>
      </c>
      <c r="K6" s="52">
        <f>IF(AND(4&gt;=$D6,4&lt;=$E6),IF($F6="완료","●",IF($F6="진행중","▶",IF($F6="제외",".",IF($F6="보류","◇","■")))),"")</f>
        <v/>
      </c>
      <c r="L6" s="52">
        <f>IF(AND(5&gt;=$D6,5&lt;=$E6),IF($F6="완료","●",IF($F6="진행중","▶",IF($F6="제외",".",IF($F6="보류","◇","■")))),"")</f>
        <v/>
      </c>
      <c r="M6" s="52">
        <f>IF(AND(6&gt;=$D6,6&lt;=$E6),IF($F6="완료","●",IF($F6="진행중","▶",IF($F6="제외",".",IF($F6="보류","◇","■")))),"")</f>
        <v/>
      </c>
      <c r="N6" s="52">
        <f>IF(AND(7&gt;=$D6,7&lt;=$E6),IF($F6="완료","●",IF($F6="진행중","▶",IF($F6="제외",".",IF($F6="보류","◇","■")))),"")</f>
        <v/>
      </c>
      <c r="O6" s="52">
        <f>IF(AND(8&gt;=$D6,8&lt;=$E6),IF($F6="완료","●",IF($F6="진행중","▶",IF($F6="제외",".",IF($F6="보류","◇","■")))),"")</f>
        <v/>
      </c>
      <c r="P6" s="52">
        <f>IF(AND(9&gt;=$D6,9&lt;=$E6),IF($F6="완료","●",IF($F6="진행중","▶",IF($F6="제외",".",IF($F6="보류","◇","■")))),"")</f>
        <v/>
      </c>
      <c r="Q6" s="52">
        <f>IF(AND(10&gt;=$D6,10&lt;=$E6),IF($F6="완료","●",IF($F6="진행중","▶",IF($F6="제외",".",IF($F6="보류","◇","■")))),"")</f>
        <v/>
      </c>
      <c r="R6" s="52">
        <f>IF(AND(11&gt;=$D6,11&lt;=$E6),IF($F6="완료","●",IF($F6="진행중","▶",IF($F6="제외",".",IF($F6="보류","◇","■")))),"")</f>
        <v/>
      </c>
      <c r="S6" s="52">
        <f>IF(AND(12&gt;=$D6,12&lt;=$E6),IF($F6="완료","●",IF($F6="진행중","▶",IF($F6="제외",".",IF($F6="보류","◇","■")))),"")</f>
        <v/>
      </c>
      <c r="T6" s="52">
        <f>IF(AND(13&gt;=$D6,13&lt;=$E6),IF($F6="완료","●",IF($F6="진행중","▶",IF($F6="제외",".",IF($F6="보류","◇","■")))),"")</f>
        <v/>
      </c>
      <c r="U6" s="52">
        <f>IF(AND(14&gt;=$D6,14&lt;=$E6),IF($F6="완료","●",IF($F6="진행중","▶",IF($F6="제외",".",IF($F6="보류","◇","■")))),"")</f>
        <v/>
      </c>
      <c r="V6" s="52">
        <f>IF(AND(15&gt;=$D6,15&lt;=$E6),IF($F6="완료","●",IF($F6="진행중","▶",IF($F6="제외",".",IF($F6="보류","◇","■")))),"")</f>
        <v/>
      </c>
    </row>
    <row r="7" ht="18" customHeight="1">
      <c r="A7" s="50" t="inlineStr">
        <is>
          <t>단계</t>
        </is>
      </c>
      <c r="B7" s="51" t="inlineStr">
        <is>
          <t>안정화·인도</t>
        </is>
      </c>
      <c r="C7" s="50" t="inlineStr">
        <is>
          <t>공동</t>
        </is>
      </c>
      <c r="D7" s="50" t="n">
        <v>14</v>
      </c>
      <c r="E7" s="50" t="n">
        <v>15</v>
      </c>
      <c r="F7" s="50" t="inlineStr">
        <is>
          <t>대기</t>
        </is>
      </c>
      <c r="G7" s="51" t="inlineStr">
        <is>
          <t>시연·발표</t>
        </is>
      </c>
      <c r="H7" s="52">
        <f>IF(AND(1&gt;=$D7,1&lt;=$E7),IF($F7="완료","●",IF($F7="진행중","▶",IF($F7="제외",".",IF($F7="보류","◇","■")))),"")</f>
        <v/>
      </c>
      <c r="I7" s="52">
        <f>IF(AND(2&gt;=$D7,2&lt;=$E7),IF($F7="완료","●",IF($F7="진행중","▶",IF($F7="제외",".",IF($F7="보류","◇","■")))),"")</f>
        <v/>
      </c>
      <c r="J7" s="52">
        <f>IF(AND(3&gt;=$D7,3&lt;=$E7),IF($F7="완료","●",IF($F7="진행중","▶",IF($F7="제외",".",IF($F7="보류","◇","■")))),"")</f>
        <v/>
      </c>
      <c r="K7" s="52">
        <f>IF(AND(4&gt;=$D7,4&lt;=$E7),IF($F7="완료","●",IF($F7="진행중","▶",IF($F7="제외",".",IF($F7="보류","◇","■")))),"")</f>
        <v/>
      </c>
      <c r="L7" s="52">
        <f>IF(AND(5&gt;=$D7,5&lt;=$E7),IF($F7="완료","●",IF($F7="진행중","▶",IF($F7="제외",".",IF($F7="보류","◇","■")))),"")</f>
        <v/>
      </c>
      <c r="M7" s="52">
        <f>IF(AND(6&gt;=$D7,6&lt;=$E7),IF($F7="완료","●",IF($F7="진행중","▶",IF($F7="제외",".",IF($F7="보류","◇","■")))),"")</f>
        <v/>
      </c>
      <c r="N7" s="52">
        <f>IF(AND(7&gt;=$D7,7&lt;=$E7),IF($F7="완료","●",IF($F7="진행중","▶",IF($F7="제외",".",IF($F7="보류","◇","■")))),"")</f>
        <v/>
      </c>
      <c r="O7" s="52">
        <f>IF(AND(8&gt;=$D7,8&lt;=$E7),IF($F7="완료","●",IF($F7="진행중","▶",IF($F7="제외",".",IF($F7="보류","◇","■")))),"")</f>
        <v/>
      </c>
      <c r="P7" s="52">
        <f>IF(AND(9&gt;=$D7,9&lt;=$E7),IF($F7="완료","●",IF($F7="진행중","▶",IF($F7="제외",".",IF($F7="보류","◇","■")))),"")</f>
        <v/>
      </c>
      <c r="Q7" s="52">
        <f>IF(AND(10&gt;=$D7,10&lt;=$E7),IF($F7="완료","●",IF($F7="진행중","▶",IF($F7="제외",".",IF($F7="보류","◇","■")))),"")</f>
        <v/>
      </c>
      <c r="R7" s="52">
        <f>IF(AND(11&gt;=$D7,11&lt;=$E7),IF($F7="완료","●",IF($F7="진행중","▶",IF($F7="제외",".",IF($F7="보류","◇","■")))),"")</f>
        <v/>
      </c>
      <c r="S7" s="52">
        <f>IF(AND(12&gt;=$D7,12&lt;=$E7),IF($F7="완료","●",IF($F7="진행중","▶",IF($F7="제외",".",IF($F7="보류","◇","■")))),"")</f>
        <v/>
      </c>
      <c r="T7" s="52">
        <f>IF(AND(13&gt;=$D7,13&lt;=$E7),IF($F7="완료","●",IF($F7="진행중","▶",IF($F7="제외",".",IF($F7="보류","◇","■")))),"")</f>
        <v/>
      </c>
      <c r="U7" s="52">
        <f>IF(AND(14&gt;=$D7,14&lt;=$E7),IF($F7="완료","●",IF($F7="진행중","▶",IF($F7="제외",".",IF($F7="보류","◇","■")))),"")</f>
        <v/>
      </c>
      <c r="V7" s="52">
        <f>IF(AND(15&gt;=$D7,15&lt;=$E7),IF($F7="완료","●",IF($F7="진행중","▶",IF($F7="제외",".",IF($F7="보류","◇","■")))),"")</f>
        <v/>
      </c>
    </row>
    <row r="8" ht="18" customHeight="1">
      <c r="A8" s="23" t="inlineStr">
        <is>
          <t>관리</t>
        </is>
      </c>
      <c r="B8" s="24" t="inlineStr">
        <is>
          <t>주간 스프린트 리뷰</t>
        </is>
      </c>
      <c r="C8" s="23" t="inlineStr">
        <is>
          <t>조찬희</t>
        </is>
      </c>
      <c r="D8" s="23" t="n">
        <v>1</v>
      </c>
      <c r="E8" s="23" t="n">
        <v>15</v>
      </c>
      <c r="F8" s="23" t="inlineStr">
        <is>
          <t>진행중</t>
        </is>
      </c>
      <c r="G8" s="24" t="inlineStr">
        <is>
          <t>주 1회</t>
        </is>
      </c>
      <c r="H8" s="52">
        <f>IF(AND(1&gt;=$D8,1&lt;=$E8),IF($F8="완료","●",IF($F8="진행중","▶",IF($F8="제외",".",IF($F8="보류","◇","■")))),"")</f>
        <v/>
      </c>
      <c r="I8" s="52">
        <f>IF(AND(2&gt;=$D8,2&lt;=$E8),IF($F8="완료","●",IF($F8="진행중","▶",IF($F8="제외",".",IF($F8="보류","◇","■")))),"")</f>
        <v/>
      </c>
      <c r="J8" s="52">
        <f>IF(AND(3&gt;=$D8,3&lt;=$E8),IF($F8="완료","●",IF($F8="진행중","▶",IF($F8="제외",".",IF($F8="보류","◇","■")))),"")</f>
        <v/>
      </c>
      <c r="K8" s="52">
        <f>IF(AND(4&gt;=$D8,4&lt;=$E8),IF($F8="완료","●",IF($F8="진행중","▶",IF($F8="제외",".",IF($F8="보류","◇","■")))),"")</f>
        <v/>
      </c>
      <c r="L8" s="52">
        <f>IF(AND(5&gt;=$D8,5&lt;=$E8),IF($F8="완료","●",IF($F8="진행중","▶",IF($F8="제외",".",IF($F8="보류","◇","■")))),"")</f>
        <v/>
      </c>
      <c r="M8" s="52">
        <f>IF(AND(6&gt;=$D8,6&lt;=$E8),IF($F8="완료","●",IF($F8="진행중","▶",IF($F8="제외",".",IF($F8="보류","◇","■")))),"")</f>
        <v/>
      </c>
      <c r="N8" s="52">
        <f>IF(AND(7&gt;=$D8,7&lt;=$E8),IF($F8="완료","●",IF($F8="진행중","▶",IF($F8="제외",".",IF($F8="보류","◇","■")))),"")</f>
        <v/>
      </c>
      <c r="O8" s="52">
        <f>IF(AND(8&gt;=$D8,8&lt;=$E8),IF($F8="완료","●",IF($F8="진행중","▶",IF($F8="제외",".",IF($F8="보류","◇","■")))),"")</f>
        <v/>
      </c>
      <c r="P8" s="52">
        <f>IF(AND(9&gt;=$D8,9&lt;=$E8),IF($F8="완료","●",IF($F8="진행중","▶",IF($F8="제외",".",IF($F8="보류","◇","■")))),"")</f>
        <v/>
      </c>
      <c r="Q8" s="52">
        <f>IF(AND(10&gt;=$D8,10&lt;=$E8),IF($F8="완료","●",IF($F8="진행중","▶",IF($F8="제외",".",IF($F8="보류","◇","■")))),"")</f>
        <v/>
      </c>
      <c r="R8" s="52">
        <f>IF(AND(11&gt;=$D8,11&lt;=$E8),IF($F8="완료","●",IF($F8="진행중","▶",IF($F8="제외",".",IF($F8="보류","◇","■")))),"")</f>
        <v/>
      </c>
      <c r="S8" s="52">
        <f>IF(AND(12&gt;=$D8,12&lt;=$E8),IF($F8="완료","●",IF($F8="진행중","▶",IF($F8="제외",".",IF($F8="보류","◇","■")))),"")</f>
        <v/>
      </c>
      <c r="T8" s="52">
        <f>IF(AND(13&gt;=$D8,13&lt;=$E8),IF($F8="완료","●",IF($F8="진행중","▶",IF($F8="제외",".",IF($F8="보류","◇","■")))),"")</f>
        <v/>
      </c>
      <c r="U8" s="52">
        <f>IF(AND(14&gt;=$D8,14&lt;=$E8),IF($F8="완료","●",IF($F8="진행중","▶",IF($F8="제외",".",IF($F8="보류","◇","■")))),"")</f>
        <v/>
      </c>
      <c r="V8" s="52">
        <f>IF(AND(15&gt;=$D8,15&lt;=$E8),IF($F8="완료","●",IF($F8="진행중","▶",IF($F8="제외",".",IF($F8="보류","◇","■")))),"")</f>
        <v/>
      </c>
    </row>
    <row r="9" ht="18" customHeight="1">
      <c r="A9" s="23" t="inlineStr">
        <is>
          <t>관리</t>
        </is>
      </c>
      <c r="B9" s="24" t="inlineStr">
        <is>
          <t>위험·UTIC/쿼터 추적</t>
        </is>
      </c>
      <c r="C9" s="23" t="inlineStr">
        <is>
          <t>조찬희</t>
        </is>
      </c>
      <c r="D9" s="23" t="n">
        <v>1</v>
      </c>
      <c r="E9" s="23" t="n">
        <v>15</v>
      </c>
      <c r="F9" s="23" t="inlineStr">
        <is>
          <t>진행중</t>
        </is>
      </c>
      <c r="G9" s="24" t="inlineStr"/>
      <c r="H9" s="52">
        <f>IF(AND(1&gt;=$D9,1&lt;=$E9),IF($F9="완료","●",IF($F9="진행중","▶",IF($F9="제외",".",IF($F9="보류","◇","■")))),"")</f>
        <v/>
      </c>
      <c r="I9" s="52">
        <f>IF(AND(2&gt;=$D9,2&lt;=$E9),IF($F9="완료","●",IF($F9="진행중","▶",IF($F9="제외",".",IF($F9="보류","◇","■")))),"")</f>
        <v/>
      </c>
      <c r="J9" s="52">
        <f>IF(AND(3&gt;=$D9,3&lt;=$E9),IF($F9="완료","●",IF($F9="진행중","▶",IF($F9="제외",".",IF($F9="보류","◇","■")))),"")</f>
        <v/>
      </c>
      <c r="K9" s="52">
        <f>IF(AND(4&gt;=$D9,4&lt;=$E9),IF($F9="완료","●",IF($F9="진행중","▶",IF($F9="제외",".",IF($F9="보류","◇","■")))),"")</f>
        <v/>
      </c>
      <c r="L9" s="52">
        <f>IF(AND(5&gt;=$D9,5&lt;=$E9),IF($F9="완료","●",IF($F9="진행중","▶",IF($F9="제외",".",IF($F9="보류","◇","■")))),"")</f>
        <v/>
      </c>
      <c r="M9" s="52">
        <f>IF(AND(6&gt;=$D9,6&lt;=$E9),IF($F9="완료","●",IF($F9="진행중","▶",IF($F9="제외",".",IF($F9="보류","◇","■")))),"")</f>
        <v/>
      </c>
      <c r="N9" s="52">
        <f>IF(AND(7&gt;=$D9,7&lt;=$E9),IF($F9="완료","●",IF($F9="진행중","▶",IF($F9="제외",".",IF($F9="보류","◇","■")))),"")</f>
        <v/>
      </c>
      <c r="O9" s="52">
        <f>IF(AND(8&gt;=$D9,8&lt;=$E9),IF($F9="완료","●",IF($F9="진행중","▶",IF($F9="제외",".",IF($F9="보류","◇","■")))),"")</f>
        <v/>
      </c>
      <c r="P9" s="52">
        <f>IF(AND(9&gt;=$D9,9&lt;=$E9),IF($F9="완료","●",IF($F9="진행중","▶",IF($F9="제외",".",IF($F9="보류","◇","■")))),"")</f>
        <v/>
      </c>
      <c r="Q9" s="52">
        <f>IF(AND(10&gt;=$D9,10&lt;=$E9),IF($F9="완료","●",IF($F9="진행중","▶",IF($F9="제외",".",IF($F9="보류","◇","■")))),"")</f>
        <v/>
      </c>
      <c r="R9" s="52">
        <f>IF(AND(11&gt;=$D9,11&lt;=$E9),IF($F9="완료","●",IF($F9="진행중","▶",IF($F9="제외",".",IF($F9="보류","◇","■")))),"")</f>
        <v/>
      </c>
      <c r="S9" s="52">
        <f>IF(AND(12&gt;=$D9,12&lt;=$E9),IF($F9="완료","●",IF($F9="진행중","▶",IF($F9="제외",".",IF($F9="보류","◇","■")))),"")</f>
        <v/>
      </c>
      <c r="T9" s="52">
        <f>IF(AND(13&gt;=$D9,13&lt;=$E9),IF($F9="완료","●",IF($F9="진행중","▶",IF($F9="제외",".",IF($F9="보류","◇","■")))),"")</f>
        <v/>
      </c>
      <c r="U9" s="52">
        <f>IF(AND(14&gt;=$D9,14&lt;=$E9),IF($F9="완료","●",IF($F9="진행중","▶",IF($F9="제외",".",IF($F9="보류","◇","■")))),"")</f>
        <v/>
      </c>
      <c r="V9" s="52">
        <f>IF(AND(15&gt;=$D9,15&lt;=$E9),IF($F9="완료","●",IF($F9="진행중","▶",IF($F9="제외",".",IF($F9="보류","◇","■")))),"")</f>
        <v/>
      </c>
    </row>
    <row r="10" ht="18" customHeight="1">
      <c r="A10" s="23" t="inlineStr">
        <is>
          <t>스프린트</t>
        </is>
      </c>
      <c r="B10" s="24" t="inlineStr">
        <is>
          <t>S0 분석 산출물 고정</t>
        </is>
      </c>
      <c r="C10" s="23" t="inlineStr">
        <is>
          <t>조찬희</t>
        </is>
      </c>
      <c r="D10" s="23" t="n">
        <v>1</v>
      </c>
      <c r="E10" s="23" t="n">
        <v>3</v>
      </c>
      <c r="F10" s="23" t="inlineStr">
        <is>
          <t>완료</t>
        </is>
      </c>
      <c r="G10" s="24" t="inlineStr"/>
      <c r="H10" s="52">
        <f>IF(AND(1&gt;=$D10,1&lt;=$E10),IF($F10="완료","●",IF($F10="진행중","▶",IF($F10="제외",".",IF($F10="보류","◇","■")))),"")</f>
        <v/>
      </c>
      <c r="I10" s="52">
        <f>IF(AND(2&gt;=$D10,2&lt;=$E10),IF($F10="완료","●",IF($F10="진행중","▶",IF($F10="제외",".",IF($F10="보류","◇","■")))),"")</f>
        <v/>
      </c>
      <c r="J10" s="52">
        <f>IF(AND(3&gt;=$D10,3&lt;=$E10),IF($F10="완료","●",IF($F10="진행중","▶",IF($F10="제외",".",IF($F10="보류","◇","■")))),"")</f>
        <v/>
      </c>
      <c r="K10" s="52">
        <f>IF(AND(4&gt;=$D10,4&lt;=$E10),IF($F10="완료","●",IF($F10="진행중","▶",IF($F10="제외",".",IF($F10="보류","◇","■")))),"")</f>
        <v/>
      </c>
      <c r="L10" s="52">
        <f>IF(AND(5&gt;=$D10,5&lt;=$E10),IF($F10="완료","●",IF($F10="진행중","▶",IF($F10="제외",".",IF($F10="보류","◇","■")))),"")</f>
        <v/>
      </c>
      <c r="M10" s="52">
        <f>IF(AND(6&gt;=$D10,6&lt;=$E10),IF($F10="완료","●",IF($F10="진행중","▶",IF($F10="제외",".",IF($F10="보류","◇","■")))),"")</f>
        <v/>
      </c>
      <c r="N10" s="52">
        <f>IF(AND(7&gt;=$D10,7&lt;=$E10),IF($F10="완료","●",IF($F10="진행중","▶",IF($F10="제외",".",IF($F10="보류","◇","■")))),"")</f>
        <v/>
      </c>
      <c r="O10" s="52">
        <f>IF(AND(8&gt;=$D10,8&lt;=$E10),IF($F10="완료","●",IF($F10="진행중","▶",IF($F10="제외",".",IF($F10="보류","◇","■")))),"")</f>
        <v/>
      </c>
      <c r="P10" s="52">
        <f>IF(AND(9&gt;=$D10,9&lt;=$E10),IF($F10="완료","●",IF($F10="진행중","▶",IF($F10="제외",".",IF($F10="보류","◇","■")))),"")</f>
        <v/>
      </c>
      <c r="Q10" s="52">
        <f>IF(AND(10&gt;=$D10,10&lt;=$E10),IF($F10="완료","●",IF($F10="진행중","▶",IF($F10="제외",".",IF($F10="보류","◇","■")))),"")</f>
        <v/>
      </c>
      <c r="R10" s="52">
        <f>IF(AND(11&gt;=$D10,11&lt;=$E10),IF($F10="완료","●",IF($F10="진행중","▶",IF($F10="제외",".",IF($F10="보류","◇","■")))),"")</f>
        <v/>
      </c>
      <c r="S10" s="52">
        <f>IF(AND(12&gt;=$D10,12&lt;=$E10),IF($F10="완료","●",IF($F10="진행중","▶",IF($F10="제외",".",IF($F10="보류","◇","■")))),"")</f>
        <v/>
      </c>
      <c r="T10" s="52">
        <f>IF(AND(13&gt;=$D10,13&lt;=$E10),IF($F10="완료","●",IF($F10="진행중","▶",IF($F10="제외",".",IF($F10="보류","◇","■")))),"")</f>
        <v/>
      </c>
      <c r="U10" s="52">
        <f>IF(AND(14&gt;=$D10,14&lt;=$E10),IF($F10="완료","●",IF($F10="진행중","▶",IF($F10="제외",".",IF($F10="보류","◇","■")))),"")</f>
        <v/>
      </c>
      <c r="V10" s="52">
        <f>IF(AND(15&gt;=$D10,15&lt;=$E10),IF($F10="완료","●",IF($F10="진행중","▶",IF($F10="제외",".",IF($F10="보류","◇","■")))),"")</f>
        <v/>
      </c>
    </row>
    <row r="11" ht="18" customHeight="1">
      <c r="A11" s="23" t="inlineStr">
        <is>
          <t>스프린트</t>
        </is>
      </c>
      <c r="B11" s="24" t="inlineStr">
        <is>
          <t>S-D1 스택·IA·ERD</t>
        </is>
      </c>
      <c r="C11" s="23" t="inlineStr">
        <is>
          <t>공동</t>
        </is>
      </c>
      <c r="D11" s="23" t="n">
        <v>4</v>
      </c>
      <c r="E11" s="23" t="n">
        <v>4</v>
      </c>
      <c r="F11" s="23" t="inlineStr">
        <is>
          <t>대기</t>
        </is>
      </c>
      <c r="G11" s="24" t="inlineStr"/>
      <c r="H11" s="52">
        <f>IF(AND(1&gt;=$D11,1&lt;=$E11),IF($F11="완료","●",IF($F11="진행중","▶",IF($F11="제외",".",IF($F11="보류","◇","■")))),"")</f>
        <v/>
      </c>
      <c r="I11" s="52">
        <f>IF(AND(2&gt;=$D11,2&lt;=$E11),IF($F11="완료","●",IF($F11="진행중","▶",IF($F11="제외",".",IF($F11="보류","◇","■")))),"")</f>
        <v/>
      </c>
      <c r="J11" s="52">
        <f>IF(AND(3&gt;=$D11,3&lt;=$E11),IF($F11="완료","●",IF($F11="진행중","▶",IF($F11="제외",".",IF($F11="보류","◇","■")))),"")</f>
        <v/>
      </c>
      <c r="K11" s="52">
        <f>IF(AND(4&gt;=$D11,4&lt;=$E11),IF($F11="완료","●",IF($F11="진행중","▶",IF($F11="제외",".",IF($F11="보류","◇","■")))),"")</f>
        <v/>
      </c>
      <c r="L11" s="52">
        <f>IF(AND(5&gt;=$D11,5&lt;=$E11),IF($F11="완료","●",IF($F11="진행중","▶",IF($F11="제외",".",IF($F11="보류","◇","■")))),"")</f>
        <v/>
      </c>
      <c r="M11" s="52">
        <f>IF(AND(6&gt;=$D11,6&lt;=$E11),IF($F11="완료","●",IF($F11="진행중","▶",IF($F11="제외",".",IF($F11="보류","◇","■")))),"")</f>
        <v/>
      </c>
      <c r="N11" s="52">
        <f>IF(AND(7&gt;=$D11,7&lt;=$E11),IF($F11="완료","●",IF($F11="진행중","▶",IF($F11="제외",".",IF($F11="보류","◇","■")))),"")</f>
        <v/>
      </c>
      <c r="O11" s="52">
        <f>IF(AND(8&gt;=$D11,8&lt;=$E11),IF($F11="완료","●",IF($F11="진행중","▶",IF($F11="제외",".",IF($F11="보류","◇","■")))),"")</f>
        <v/>
      </c>
      <c r="P11" s="52">
        <f>IF(AND(9&gt;=$D11,9&lt;=$E11),IF($F11="완료","●",IF($F11="진행중","▶",IF($F11="제외",".",IF($F11="보류","◇","■")))),"")</f>
        <v/>
      </c>
      <c r="Q11" s="52">
        <f>IF(AND(10&gt;=$D11,10&lt;=$E11),IF($F11="완료","●",IF($F11="진행중","▶",IF($F11="제외",".",IF($F11="보류","◇","■")))),"")</f>
        <v/>
      </c>
      <c r="R11" s="52">
        <f>IF(AND(11&gt;=$D11,11&lt;=$E11),IF($F11="완료","●",IF($F11="진행중","▶",IF($F11="제외",".",IF($F11="보류","◇","■")))),"")</f>
        <v/>
      </c>
      <c r="S11" s="52">
        <f>IF(AND(12&gt;=$D11,12&lt;=$E11),IF($F11="완료","●",IF($F11="진행중","▶",IF($F11="제외",".",IF($F11="보류","◇","■")))),"")</f>
        <v/>
      </c>
      <c r="T11" s="52">
        <f>IF(AND(13&gt;=$D11,13&lt;=$E11),IF($F11="완료","●",IF($F11="진행중","▶",IF($F11="제외",".",IF($F11="보류","◇","■")))),"")</f>
        <v/>
      </c>
      <c r="U11" s="52">
        <f>IF(AND(14&gt;=$D11,14&lt;=$E11),IF($F11="완료","●",IF($F11="진행중","▶",IF($F11="제외",".",IF($F11="보류","◇","■")))),"")</f>
        <v/>
      </c>
      <c r="V11" s="52">
        <f>IF(AND(15&gt;=$D11,15&lt;=$E11),IF($F11="완료","●",IF($F11="진행중","▶",IF($F11="제외",".",IF($F11="보류","◇","■")))),"")</f>
        <v/>
      </c>
    </row>
    <row r="12" ht="18" customHeight="1">
      <c r="A12" s="23" t="inlineStr">
        <is>
          <t>스프린트</t>
        </is>
      </c>
      <c r="B12" s="24" t="inlineStr">
        <is>
          <t>S-D2 API·규칙·프로토타입</t>
        </is>
      </c>
      <c r="C12" s="23" t="inlineStr">
        <is>
          <t>공동</t>
        </is>
      </c>
      <c r="D12" s="23" t="n">
        <v>5</v>
      </c>
      <c r="E12" s="23" t="n">
        <v>5</v>
      </c>
      <c r="F12" s="23" t="inlineStr">
        <is>
          <t>대기</t>
        </is>
      </c>
      <c r="G12" s="24" t="inlineStr"/>
      <c r="H12" s="52">
        <f>IF(AND(1&gt;=$D12,1&lt;=$E12),IF($F12="완료","●",IF($F12="진행중","▶",IF($F12="제외",".",IF($F12="보류","◇","■")))),"")</f>
        <v/>
      </c>
      <c r="I12" s="52">
        <f>IF(AND(2&gt;=$D12,2&lt;=$E12),IF($F12="완료","●",IF($F12="진행중","▶",IF($F12="제외",".",IF($F12="보류","◇","■")))),"")</f>
        <v/>
      </c>
      <c r="J12" s="52">
        <f>IF(AND(3&gt;=$D12,3&lt;=$E12),IF($F12="완료","●",IF($F12="진행중","▶",IF($F12="제외",".",IF($F12="보류","◇","■")))),"")</f>
        <v/>
      </c>
      <c r="K12" s="52">
        <f>IF(AND(4&gt;=$D12,4&lt;=$E12),IF($F12="완료","●",IF($F12="진행중","▶",IF($F12="제외",".",IF($F12="보류","◇","■")))),"")</f>
        <v/>
      </c>
      <c r="L12" s="52">
        <f>IF(AND(5&gt;=$D12,5&lt;=$E12),IF($F12="완료","●",IF($F12="진행중","▶",IF($F12="제외",".",IF($F12="보류","◇","■")))),"")</f>
        <v/>
      </c>
      <c r="M12" s="52">
        <f>IF(AND(6&gt;=$D12,6&lt;=$E12),IF($F12="완료","●",IF($F12="진행중","▶",IF($F12="제외",".",IF($F12="보류","◇","■")))),"")</f>
        <v/>
      </c>
      <c r="N12" s="52">
        <f>IF(AND(7&gt;=$D12,7&lt;=$E12),IF($F12="완료","●",IF($F12="진행중","▶",IF($F12="제외",".",IF($F12="보류","◇","■")))),"")</f>
        <v/>
      </c>
      <c r="O12" s="52">
        <f>IF(AND(8&gt;=$D12,8&lt;=$E12),IF($F12="완료","●",IF($F12="진행중","▶",IF($F12="제외",".",IF($F12="보류","◇","■")))),"")</f>
        <v/>
      </c>
      <c r="P12" s="52">
        <f>IF(AND(9&gt;=$D12,9&lt;=$E12),IF($F12="완료","●",IF($F12="진행중","▶",IF($F12="제외",".",IF($F12="보류","◇","■")))),"")</f>
        <v/>
      </c>
      <c r="Q12" s="52">
        <f>IF(AND(10&gt;=$D12,10&lt;=$E12),IF($F12="완료","●",IF($F12="진행중","▶",IF($F12="제외",".",IF($F12="보류","◇","■")))),"")</f>
        <v/>
      </c>
      <c r="R12" s="52">
        <f>IF(AND(11&gt;=$D12,11&lt;=$E12),IF($F12="완료","●",IF($F12="진행중","▶",IF($F12="제외",".",IF($F12="보류","◇","■")))),"")</f>
        <v/>
      </c>
      <c r="S12" s="52">
        <f>IF(AND(12&gt;=$D12,12&lt;=$E12),IF($F12="완료","●",IF($F12="진행중","▶",IF($F12="제외",".",IF($F12="보류","◇","■")))),"")</f>
        <v/>
      </c>
      <c r="T12" s="52">
        <f>IF(AND(13&gt;=$D12,13&lt;=$E12),IF($F12="완료","●",IF($F12="진행중","▶",IF($F12="제외",".",IF($F12="보류","◇","■")))),"")</f>
        <v/>
      </c>
      <c r="U12" s="52">
        <f>IF(AND(14&gt;=$D12,14&lt;=$E12),IF($F12="완료","●",IF($F12="진행중","▶",IF($F12="제외",".",IF($F12="보류","◇","■")))),"")</f>
        <v/>
      </c>
      <c r="V12" s="52">
        <f>IF(AND(15&gt;=$D12,15&lt;=$E12),IF($F12="완료","●",IF($F12="진행중","▶",IF($F12="제외",".",IF($F12="보류","◇","■")))),"")</f>
        <v/>
      </c>
    </row>
    <row r="13" ht="18" customHeight="1">
      <c r="A13" s="23" t="inlineStr">
        <is>
          <t>스프린트</t>
        </is>
      </c>
      <c r="B13" s="24" t="inlineStr">
        <is>
          <t>S1 기동·로그인</t>
        </is>
      </c>
      <c r="C13" s="23" t="inlineStr">
        <is>
          <t>공동</t>
        </is>
      </c>
      <c r="D13" s="23" t="n">
        <v>6</v>
      </c>
      <c r="E13" s="23" t="n">
        <v>6</v>
      </c>
      <c r="F13" s="23" t="inlineStr">
        <is>
          <t>대기</t>
        </is>
      </c>
      <c r="G13" s="24" t="inlineStr">
        <is>
          <t>Must 3SP</t>
        </is>
      </c>
      <c r="H13" s="52">
        <f>IF(AND(1&gt;=$D13,1&lt;=$E13),IF($F13="완료","●",IF($F13="진행중","▶",IF($F13="제외",".",IF($F13="보류","◇","■")))),"")</f>
        <v/>
      </c>
      <c r="I13" s="52">
        <f>IF(AND(2&gt;=$D13,2&lt;=$E13),IF($F13="완료","●",IF($F13="진행중","▶",IF($F13="제외",".",IF($F13="보류","◇","■")))),"")</f>
        <v/>
      </c>
      <c r="J13" s="52">
        <f>IF(AND(3&gt;=$D13,3&lt;=$E13),IF($F13="완료","●",IF($F13="진행중","▶",IF($F13="제외",".",IF($F13="보류","◇","■")))),"")</f>
        <v/>
      </c>
      <c r="K13" s="52">
        <f>IF(AND(4&gt;=$D13,4&lt;=$E13),IF($F13="완료","●",IF($F13="진행중","▶",IF($F13="제외",".",IF($F13="보류","◇","■")))),"")</f>
        <v/>
      </c>
      <c r="L13" s="52">
        <f>IF(AND(5&gt;=$D13,5&lt;=$E13),IF($F13="완료","●",IF($F13="진행중","▶",IF($F13="제외",".",IF($F13="보류","◇","■")))),"")</f>
        <v/>
      </c>
      <c r="M13" s="52">
        <f>IF(AND(6&gt;=$D13,6&lt;=$E13),IF($F13="완료","●",IF($F13="진행중","▶",IF($F13="제외",".",IF($F13="보류","◇","■")))),"")</f>
        <v/>
      </c>
      <c r="N13" s="52">
        <f>IF(AND(7&gt;=$D13,7&lt;=$E13),IF($F13="완료","●",IF($F13="진행중","▶",IF($F13="제외",".",IF($F13="보류","◇","■")))),"")</f>
        <v/>
      </c>
      <c r="O13" s="52">
        <f>IF(AND(8&gt;=$D13,8&lt;=$E13),IF($F13="완료","●",IF($F13="진행중","▶",IF($F13="제외",".",IF($F13="보류","◇","■")))),"")</f>
        <v/>
      </c>
      <c r="P13" s="52">
        <f>IF(AND(9&gt;=$D13,9&lt;=$E13),IF($F13="완료","●",IF($F13="진행중","▶",IF($F13="제외",".",IF($F13="보류","◇","■")))),"")</f>
        <v/>
      </c>
      <c r="Q13" s="52">
        <f>IF(AND(10&gt;=$D13,10&lt;=$E13),IF($F13="완료","●",IF($F13="진행중","▶",IF($F13="제외",".",IF($F13="보류","◇","■")))),"")</f>
        <v/>
      </c>
      <c r="R13" s="52">
        <f>IF(AND(11&gt;=$D13,11&lt;=$E13),IF($F13="완료","●",IF($F13="진행중","▶",IF($F13="제외",".",IF($F13="보류","◇","■")))),"")</f>
        <v/>
      </c>
      <c r="S13" s="52">
        <f>IF(AND(12&gt;=$D13,12&lt;=$E13),IF($F13="완료","●",IF($F13="진행중","▶",IF($F13="제외",".",IF($F13="보류","◇","■")))),"")</f>
        <v/>
      </c>
      <c r="T13" s="52">
        <f>IF(AND(13&gt;=$D13,13&lt;=$E13),IF($F13="완료","●",IF($F13="진행중","▶",IF($F13="제외",".",IF($F13="보류","◇","■")))),"")</f>
        <v/>
      </c>
      <c r="U13" s="52">
        <f>IF(AND(14&gt;=$D13,14&lt;=$E13),IF($F13="완료","●",IF($F13="진행중","▶",IF($F13="제외",".",IF($F13="보류","◇","■")))),"")</f>
        <v/>
      </c>
      <c r="V13" s="52">
        <f>IF(AND(15&gt;=$D13,15&lt;=$E13),IF($F13="완료","●",IF($F13="진행중","▶",IF($F13="제외",".",IF($F13="보류","◇","■")))),"")</f>
        <v/>
      </c>
    </row>
    <row r="14" ht="18" customHeight="1">
      <c r="A14" s="23" t="inlineStr">
        <is>
          <t>스프린트</t>
        </is>
      </c>
      <c r="B14" s="24" t="inlineStr">
        <is>
          <t>S2 인천 수집</t>
        </is>
      </c>
      <c r="C14" s="23" t="inlineStr">
        <is>
          <t>기경현</t>
        </is>
      </c>
      <c r="D14" s="23" t="n">
        <v>7</v>
      </c>
      <c r="E14" s="23" t="n">
        <v>7</v>
      </c>
      <c r="F14" s="23" t="inlineStr">
        <is>
          <t>대기</t>
        </is>
      </c>
      <c r="G14" s="24" t="inlineStr">
        <is>
          <t>Must 16SP</t>
        </is>
      </c>
      <c r="H14" s="52">
        <f>IF(AND(1&gt;=$D14,1&lt;=$E14),IF($F14="완료","●",IF($F14="진행중","▶",IF($F14="제외",".",IF($F14="보류","◇","■")))),"")</f>
        <v/>
      </c>
      <c r="I14" s="52">
        <f>IF(AND(2&gt;=$D14,2&lt;=$E14),IF($F14="완료","●",IF($F14="진행중","▶",IF($F14="제외",".",IF($F14="보류","◇","■")))),"")</f>
        <v/>
      </c>
      <c r="J14" s="52">
        <f>IF(AND(3&gt;=$D14,3&lt;=$E14),IF($F14="완료","●",IF($F14="진행중","▶",IF($F14="제외",".",IF($F14="보류","◇","■")))),"")</f>
        <v/>
      </c>
      <c r="K14" s="52">
        <f>IF(AND(4&gt;=$D14,4&lt;=$E14),IF($F14="완료","●",IF($F14="진행중","▶",IF($F14="제외",".",IF($F14="보류","◇","■")))),"")</f>
        <v/>
      </c>
      <c r="L14" s="52">
        <f>IF(AND(5&gt;=$D14,5&lt;=$E14),IF($F14="완료","●",IF($F14="진행중","▶",IF($F14="제외",".",IF($F14="보류","◇","■")))),"")</f>
        <v/>
      </c>
      <c r="M14" s="52">
        <f>IF(AND(6&gt;=$D14,6&lt;=$E14),IF($F14="완료","●",IF($F14="진행중","▶",IF($F14="제외",".",IF($F14="보류","◇","■")))),"")</f>
        <v/>
      </c>
      <c r="N14" s="52">
        <f>IF(AND(7&gt;=$D14,7&lt;=$E14),IF($F14="완료","●",IF($F14="진행중","▶",IF($F14="제외",".",IF($F14="보류","◇","■")))),"")</f>
        <v/>
      </c>
      <c r="O14" s="52">
        <f>IF(AND(8&gt;=$D14,8&lt;=$E14),IF($F14="완료","●",IF($F14="진행중","▶",IF($F14="제외",".",IF($F14="보류","◇","■")))),"")</f>
        <v/>
      </c>
      <c r="P14" s="52">
        <f>IF(AND(9&gt;=$D14,9&lt;=$E14),IF($F14="완료","●",IF($F14="진행중","▶",IF($F14="제외",".",IF($F14="보류","◇","■")))),"")</f>
        <v/>
      </c>
      <c r="Q14" s="52">
        <f>IF(AND(10&gt;=$D14,10&lt;=$E14),IF($F14="완료","●",IF($F14="진행중","▶",IF($F14="제외",".",IF($F14="보류","◇","■")))),"")</f>
        <v/>
      </c>
      <c r="R14" s="52">
        <f>IF(AND(11&gt;=$D14,11&lt;=$E14),IF($F14="완료","●",IF($F14="진행중","▶",IF($F14="제외",".",IF($F14="보류","◇","■")))),"")</f>
        <v/>
      </c>
      <c r="S14" s="52">
        <f>IF(AND(12&gt;=$D14,12&lt;=$E14),IF($F14="완료","●",IF($F14="진행중","▶",IF($F14="제외",".",IF($F14="보류","◇","■")))),"")</f>
        <v/>
      </c>
      <c r="T14" s="52">
        <f>IF(AND(13&gt;=$D14,13&lt;=$E14),IF($F14="완료","●",IF($F14="진행중","▶",IF($F14="제외",".",IF($F14="보류","◇","■")))),"")</f>
        <v/>
      </c>
      <c r="U14" s="52">
        <f>IF(AND(14&gt;=$D14,14&lt;=$E14),IF($F14="완료","●",IF($F14="진행중","▶",IF($F14="제외",".",IF($F14="보류","◇","■")))),"")</f>
        <v/>
      </c>
      <c r="V14" s="52">
        <f>IF(AND(15&gt;=$D14,15&lt;=$E14),IF($F14="완료","●",IF($F14="진행중","▶",IF($F14="제외",".",IF($F14="보류","◇","■")))),"")</f>
        <v/>
      </c>
    </row>
    <row r="15" ht="18" customHeight="1">
      <c r="A15" s="23" t="inlineStr">
        <is>
          <t>스프린트</t>
        </is>
      </c>
      <c r="B15" s="24" t="inlineStr">
        <is>
          <t>S3 계획+엔진</t>
        </is>
      </c>
      <c r="C15" s="23" t="inlineStr">
        <is>
          <t>기경현</t>
        </is>
      </c>
      <c r="D15" s="23" t="n">
        <v>8</v>
      </c>
      <c r="E15" s="23" t="n">
        <v>8</v>
      </c>
      <c r="F15" s="23" t="inlineStr">
        <is>
          <t>대기</t>
        </is>
      </c>
      <c r="G15" s="24" t="inlineStr">
        <is>
          <t>Must 16SP</t>
        </is>
      </c>
      <c r="H15" s="52">
        <f>IF(AND(1&gt;=$D15,1&lt;=$E15),IF($F15="완료","●",IF($F15="진행중","▶",IF($F15="제외",".",IF($F15="보류","◇","■")))),"")</f>
        <v/>
      </c>
      <c r="I15" s="52">
        <f>IF(AND(2&gt;=$D15,2&lt;=$E15),IF($F15="완료","●",IF($F15="진행중","▶",IF($F15="제외",".",IF($F15="보류","◇","■")))),"")</f>
        <v/>
      </c>
      <c r="J15" s="52">
        <f>IF(AND(3&gt;=$D15,3&lt;=$E15),IF($F15="완료","●",IF($F15="진행중","▶",IF($F15="제외",".",IF($F15="보류","◇","■")))),"")</f>
        <v/>
      </c>
      <c r="K15" s="52">
        <f>IF(AND(4&gt;=$D15,4&lt;=$E15),IF($F15="완료","●",IF($F15="진행중","▶",IF($F15="제외",".",IF($F15="보류","◇","■")))),"")</f>
        <v/>
      </c>
      <c r="L15" s="52">
        <f>IF(AND(5&gt;=$D15,5&lt;=$E15),IF($F15="완료","●",IF($F15="진행중","▶",IF($F15="제외",".",IF($F15="보류","◇","■")))),"")</f>
        <v/>
      </c>
      <c r="M15" s="52">
        <f>IF(AND(6&gt;=$D15,6&lt;=$E15),IF($F15="완료","●",IF($F15="진행중","▶",IF($F15="제외",".",IF($F15="보류","◇","■")))),"")</f>
        <v/>
      </c>
      <c r="N15" s="52">
        <f>IF(AND(7&gt;=$D15,7&lt;=$E15),IF($F15="완료","●",IF($F15="진행중","▶",IF($F15="제외",".",IF($F15="보류","◇","■")))),"")</f>
        <v/>
      </c>
      <c r="O15" s="52">
        <f>IF(AND(8&gt;=$D15,8&lt;=$E15),IF($F15="완료","●",IF($F15="진행중","▶",IF($F15="제외",".",IF($F15="보류","◇","■")))),"")</f>
        <v/>
      </c>
      <c r="P15" s="52">
        <f>IF(AND(9&gt;=$D15,9&lt;=$E15),IF($F15="완료","●",IF($F15="진행중","▶",IF($F15="제외",".",IF($F15="보류","◇","■")))),"")</f>
        <v/>
      </c>
      <c r="Q15" s="52">
        <f>IF(AND(10&gt;=$D15,10&lt;=$E15),IF($F15="완료","●",IF($F15="진행중","▶",IF($F15="제외",".",IF($F15="보류","◇","■")))),"")</f>
        <v/>
      </c>
      <c r="R15" s="52">
        <f>IF(AND(11&gt;=$D15,11&lt;=$E15),IF($F15="완료","●",IF($F15="진행중","▶",IF($F15="제외",".",IF($F15="보류","◇","■")))),"")</f>
        <v/>
      </c>
      <c r="S15" s="52">
        <f>IF(AND(12&gt;=$D15,12&lt;=$E15),IF($F15="완료","●",IF($F15="진행중","▶",IF($F15="제외",".",IF($F15="보류","◇","■")))),"")</f>
        <v/>
      </c>
      <c r="T15" s="52">
        <f>IF(AND(13&gt;=$D15,13&lt;=$E15),IF($F15="완료","●",IF($F15="진행중","▶",IF($F15="제외",".",IF($F15="보류","◇","■")))),"")</f>
        <v/>
      </c>
      <c r="U15" s="52">
        <f>IF(AND(14&gt;=$D15,14&lt;=$E15),IF($F15="완료","●",IF($F15="진행중","▶",IF($F15="제외",".",IF($F15="보류","◇","■")))),"")</f>
        <v/>
      </c>
      <c r="V15" s="52">
        <f>IF(AND(15&gt;=$D15,15&lt;=$E15),IF($F15="완료","●",IF($F15="진행중","▶",IF($F15="제외",".",IF($F15="보류","◇","■")))),"")</f>
        <v/>
      </c>
    </row>
    <row r="16" ht="18" customHeight="1">
      <c r="A16" s="23" t="inlineStr">
        <is>
          <t>스프린트</t>
        </is>
      </c>
      <c r="B16" s="24" t="inlineStr">
        <is>
          <t>S4 검지 분기</t>
        </is>
      </c>
      <c r="C16" s="23" t="inlineStr">
        <is>
          <t>기경현</t>
        </is>
      </c>
      <c r="D16" s="23" t="n">
        <v>9</v>
      </c>
      <c r="E16" s="23" t="n">
        <v>9</v>
      </c>
      <c r="F16" s="23" t="inlineStr">
        <is>
          <t>대기</t>
        </is>
      </c>
      <c r="G16" s="24" t="inlineStr">
        <is>
          <t>Must 15SP</t>
        </is>
      </c>
      <c r="H16" s="52">
        <f>IF(AND(1&gt;=$D16,1&lt;=$E16),IF($F16="완료","●",IF($F16="진행중","▶",IF($F16="제외",".",IF($F16="보류","◇","■")))),"")</f>
        <v/>
      </c>
      <c r="I16" s="52">
        <f>IF(AND(2&gt;=$D16,2&lt;=$E16),IF($F16="완료","●",IF($F16="진행중","▶",IF($F16="제외",".",IF($F16="보류","◇","■")))),"")</f>
        <v/>
      </c>
      <c r="J16" s="52">
        <f>IF(AND(3&gt;=$D16,3&lt;=$E16),IF($F16="완료","●",IF($F16="진행중","▶",IF($F16="제외",".",IF($F16="보류","◇","■")))),"")</f>
        <v/>
      </c>
      <c r="K16" s="52">
        <f>IF(AND(4&gt;=$D16,4&lt;=$E16),IF($F16="완료","●",IF($F16="진행중","▶",IF($F16="제외",".",IF($F16="보류","◇","■")))),"")</f>
        <v/>
      </c>
      <c r="L16" s="52">
        <f>IF(AND(5&gt;=$D16,5&lt;=$E16),IF($F16="완료","●",IF($F16="진행중","▶",IF($F16="제외",".",IF($F16="보류","◇","■")))),"")</f>
        <v/>
      </c>
      <c r="M16" s="52">
        <f>IF(AND(6&gt;=$D16,6&lt;=$E16),IF($F16="완료","●",IF($F16="진행중","▶",IF($F16="제외",".",IF($F16="보류","◇","■")))),"")</f>
        <v/>
      </c>
      <c r="N16" s="52">
        <f>IF(AND(7&gt;=$D16,7&lt;=$E16),IF($F16="완료","●",IF($F16="진행중","▶",IF($F16="제외",".",IF($F16="보류","◇","■")))),"")</f>
        <v/>
      </c>
      <c r="O16" s="52">
        <f>IF(AND(8&gt;=$D16,8&lt;=$E16),IF($F16="완료","●",IF($F16="진행중","▶",IF($F16="제외",".",IF($F16="보류","◇","■")))),"")</f>
        <v/>
      </c>
      <c r="P16" s="52">
        <f>IF(AND(9&gt;=$D16,9&lt;=$E16),IF($F16="완료","●",IF($F16="진행중","▶",IF($F16="제외",".",IF($F16="보류","◇","■")))),"")</f>
        <v/>
      </c>
      <c r="Q16" s="52">
        <f>IF(AND(10&gt;=$D16,10&lt;=$E16),IF($F16="완료","●",IF($F16="진행중","▶",IF($F16="제외",".",IF($F16="보류","◇","■")))),"")</f>
        <v/>
      </c>
      <c r="R16" s="52">
        <f>IF(AND(11&gt;=$D16,11&lt;=$E16),IF($F16="완료","●",IF($F16="진행중","▶",IF($F16="제외",".",IF($F16="보류","◇","■")))),"")</f>
        <v/>
      </c>
      <c r="S16" s="52">
        <f>IF(AND(12&gt;=$D16,12&lt;=$E16),IF($F16="완료","●",IF($F16="진행중","▶",IF($F16="제외",".",IF($F16="보류","◇","■")))),"")</f>
        <v/>
      </c>
      <c r="T16" s="52">
        <f>IF(AND(13&gt;=$D16,13&lt;=$E16),IF($F16="완료","●",IF($F16="진행중","▶",IF($F16="제외",".",IF($F16="보류","◇","■")))),"")</f>
        <v/>
      </c>
      <c r="U16" s="52">
        <f>IF(AND(14&gt;=$D16,14&lt;=$E16),IF($F16="완료","●",IF($F16="진행중","▶",IF($F16="제외",".",IF($F16="보류","◇","■")))),"")</f>
        <v/>
      </c>
      <c r="V16" s="52">
        <f>IF(AND(15&gt;=$D16,15&lt;=$E16),IF($F16="완료","●",IF($F16="진행중","▶",IF($F16="제외",".",IF($F16="보류","◇","■")))),"")</f>
        <v/>
      </c>
    </row>
    <row r="17" ht="18" customHeight="1">
      <c r="A17" s="23" t="inlineStr">
        <is>
          <t>스프린트</t>
        </is>
      </c>
      <c r="B17" s="24" t="inlineStr">
        <is>
          <t>S5 대시보드·이슈</t>
        </is>
      </c>
      <c r="C17" s="23" t="inlineStr">
        <is>
          <t>조찬희</t>
        </is>
      </c>
      <c r="D17" s="23" t="n">
        <v>10</v>
      </c>
      <c r="E17" s="23" t="n">
        <v>10</v>
      </c>
      <c r="F17" s="23" t="inlineStr">
        <is>
          <t>대기</t>
        </is>
      </c>
      <c r="G17" s="24" t="inlineStr">
        <is>
          <t>Must 17SP</t>
        </is>
      </c>
      <c r="H17" s="52">
        <f>IF(AND(1&gt;=$D17,1&lt;=$E17),IF($F17="완료","●",IF($F17="진행중","▶",IF($F17="제외",".",IF($F17="보류","◇","■")))),"")</f>
        <v/>
      </c>
      <c r="I17" s="52">
        <f>IF(AND(2&gt;=$D17,2&lt;=$E17),IF($F17="완료","●",IF($F17="진행중","▶",IF($F17="제외",".",IF($F17="보류","◇","■")))),"")</f>
        <v/>
      </c>
      <c r="J17" s="52">
        <f>IF(AND(3&gt;=$D17,3&lt;=$E17),IF($F17="완료","●",IF($F17="진행중","▶",IF($F17="제외",".",IF($F17="보류","◇","■")))),"")</f>
        <v/>
      </c>
      <c r="K17" s="52">
        <f>IF(AND(4&gt;=$D17,4&lt;=$E17),IF($F17="완료","●",IF($F17="진행중","▶",IF($F17="제외",".",IF($F17="보류","◇","■")))),"")</f>
        <v/>
      </c>
      <c r="L17" s="52">
        <f>IF(AND(5&gt;=$D17,5&lt;=$E17),IF($F17="완료","●",IF($F17="진행중","▶",IF($F17="제외",".",IF($F17="보류","◇","■")))),"")</f>
        <v/>
      </c>
      <c r="M17" s="52">
        <f>IF(AND(6&gt;=$D17,6&lt;=$E17),IF($F17="완료","●",IF($F17="진행중","▶",IF($F17="제외",".",IF($F17="보류","◇","■")))),"")</f>
        <v/>
      </c>
      <c r="N17" s="52">
        <f>IF(AND(7&gt;=$D17,7&lt;=$E17),IF($F17="완료","●",IF($F17="진행중","▶",IF($F17="제외",".",IF($F17="보류","◇","■")))),"")</f>
        <v/>
      </c>
      <c r="O17" s="52">
        <f>IF(AND(8&gt;=$D17,8&lt;=$E17),IF($F17="완료","●",IF($F17="진행중","▶",IF($F17="제외",".",IF($F17="보류","◇","■")))),"")</f>
        <v/>
      </c>
      <c r="P17" s="52">
        <f>IF(AND(9&gt;=$D17,9&lt;=$E17),IF($F17="완료","●",IF($F17="진행중","▶",IF($F17="제외",".",IF($F17="보류","◇","■")))),"")</f>
        <v/>
      </c>
      <c r="Q17" s="52">
        <f>IF(AND(10&gt;=$D17,10&lt;=$E17),IF($F17="완료","●",IF($F17="진행중","▶",IF($F17="제외",".",IF($F17="보류","◇","■")))),"")</f>
        <v/>
      </c>
      <c r="R17" s="52">
        <f>IF(AND(11&gt;=$D17,11&lt;=$E17),IF($F17="완료","●",IF($F17="진행중","▶",IF($F17="제외",".",IF($F17="보류","◇","■")))),"")</f>
        <v/>
      </c>
      <c r="S17" s="52">
        <f>IF(AND(12&gt;=$D17,12&lt;=$E17),IF($F17="완료","●",IF($F17="진행중","▶",IF($F17="제외",".",IF($F17="보류","◇","■")))),"")</f>
        <v/>
      </c>
      <c r="T17" s="52">
        <f>IF(AND(13&gt;=$D17,13&lt;=$E17),IF($F17="완료","●",IF($F17="진행중","▶",IF($F17="제외",".",IF($F17="보류","◇","■")))),"")</f>
        <v/>
      </c>
      <c r="U17" s="52">
        <f>IF(AND(14&gt;=$D17,14&lt;=$E17),IF($F17="완료","●",IF($F17="진행중","▶",IF($F17="제외",".",IF($F17="보류","◇","■")))),"")</f>
        <v/>
      </c>
      <c r="V17" s="52">
        <f>IF(AND(15&gt;=$D17,15&lt;=$E17),IF($F17="완료","●",IF($F17="진행중","▶",IF($F17="제외",".",IF($F17="보류","◇","■")))),"")</f>
        <v/>
      </c>
    </row>
    <row r="18" ht="18" customHeight="1">
      <c r="A18" s="23" t="inlineStr">
        <is>
          <t>스프린트</t>
        </is>
      </c>
      <c r="B18" s="24" t="inlineStr">
        <is>
          <t>S6 통제·동결</t>
        </is>
      </c>
      <c r="C18" s="23" t="inlineStr">
        <is>
          <t>공동</t>
        </is>
      </c>
      <c r="D18" s="23" t="n">
        <v>11</v>
      </c>
      <c r="E18" s="23" t="n">
        <v>11</v>
      </c>
      <c r="F18" s="23" t="inlineStr">
        <is>
          <t>대기</t>
        </is>
      </c>
      <c r="G18" s="24" t="inlineStr">
        <is>
          <t>29SP → 커트</t>
        </is>
      </c>
      <c r="H18" s="52">
        <f>IF(AND(1&gt;=$D18,1&lt;=$E18),IF($F18="완료","●",IF($F18="진행중","▶",IF($F18="제외",".",IF($F18="보류","◇","■")))),"")</f>
        <v/>
      </c>
      <c r="I18" s="52">
        <f>IF(AND(2&gt;=$D18,2&lt;=$E18),IF($F18="완료","●",IF($F18="진행중","▶",IF($F18="제외",".",IF($F18="보류","◇","■")))),"")</f>
        <v/>
      </c>
      <c r="J18" s="52">
        <f>IF(AND(3&gt;=$D18,3&lt;=$E18),IF($F18="완료","●",IF($F18="진행중","▶",IF($F18="제외",".",IF($F18="보류","◇","■")))),"")</f>
        <v/>
      </c>
      <c r="K18" s="52">
        <f>IF(AND(4&gt;=$D18,4&lt;=$E18),IF($F18="완료","●",IF($F18="진행중","▶",IF($F18="제외",".",IF($F18="보류","◇","■")))),"")</f>
        <v/>
      </c>
      <c r="L18" s="52">
        <f>IF(AND(5&gt;=$D18,5&lt;=$E18),IF($F18="완료","●",IF($F18="진행중","▶",IF($F18="제외",".",IF($F18="보류","◇","■")))),"")</f>
        <v/>
      </c>
      <c r="M18" s="52">
        <f>IF(AND(6&gt;=$D18,6&lt;=$E18),IF($F18="완료","●",IF($F18="진행중","▶",IF($F18="제외",".",IF($F18="보류","◇","■")))),"")</f>
        <v/>
      </c>
      <c r="N18" s="52">
        <f>IF(AND(7&gt;=$D18,7&lt;=$E18),IF($F18="완료","●",IF($F18="진행중","▶",IF($F18="제외",".",IF($F18="보류","◇","■")))),"")</f>
        <v/>
      </c>
      <c r="O18" s="52">
        <f>IF(AND(8&gt;=$D18,8&lt;=$E18),IF($F18="완료","●",IF($F18="진행중","▶",IF($F18="제외",".",IF($F18="보류","◇","■")))),"")</f>
        <v/>
      </c>
      <c r="P18" s="52">
        <f>IF(AND(9&gt;=$D18,9&lt;=$E18),IF($F18="완료","●",IF($F18="진행중","▶",IF($F18="제외",".",IF($F18="보류","◇","■")))),"")</f>
        <v/>
      </c>
      <c r="Q18" s="52">
        <f>IF(AND(10&gt;=$D18,10&lt;=$E18),IF($F18="완료","●",IF($F18="진행중","▶",IF($F18="제외",".",IF($F18="보류","◇","■")))),"")</f>
        <v/>
      </c>
      <c r="R18" s="52">
        <f>IF(AND(11&gt;=$D18,11&lt;=$E18),IF($F18="완료","●",IF($F18="진행중","▶",IF($F18="제외",".",IF($F18="보류","◇","■")))),"")</f>
        <v/>
      </c>
      <c r="S18" s="52">
        <f>IF(AND(12&gt;=$D18,12&lt;=$E18),IF($F18="완료","●",IF($F18="진행중","▶",IF($F18="제외",".",IF($F18="보류","◇","■")))),"")</f>
        <v/>
      </c>
      <c r="T18" s="52">
        <f>IF(AND(13&gt;=$D18,13&lt;=$E18),IF($F18="완료","●",IF($F18="진행중","▶",IF($F18="제외",".",IF($F18="보류","◇","■")))),"")</f>
        <v/>
      </c>
      <c r="U18" s="52">
        <f>IF(AND(14&gt;=$D18,14&lt;=$E18),IF($F18="완료","●",IF($F18="진행중","▶",IF($F18="제외",".",IF($F18="보류","◇","■")))),"")</f>
        <v/>
      </c>
      <c r="V18" s="52">
        <f>IF(AND(15&gt;=$D18,15&lt;=$E18),IF($F18="완료","●",IF($F18="진행중","▶",IF($F18="제외",".",IF($F18="보류","◇","■")))),"")</f>
        <v/>
      </c>
    </row>
    <row r="19" ht="18" customHeight="1">
      <c r="A19" s="23" t="inlineStr">
        <is>
          <t>스프린트</t>
        </is>
      </c>
      <c r="B19" s="24" t="inlineStr">
        <is>
          <t>S-T1 케이스 실행</t>
        </is>
      </c>
      <c r="C19" s="23" t="inlineStr">
        <is>
          <t>공동</t>
        </is>
      </c>
      <c r="D19" s="23" t="n">
        <v>12</v>
      </c>
      <c r="E19" s="23" t="n">
        <v>12</v>
      </c>
      <c r="F19" s="23" t="inlineStr">
        <is>
          <t>대기</t>
        </is>
      </c>
      <c r="G19" s="24" t="inlineStr"/>
      <c r="H19" s="52">
        <f>IF(AND(1&gt;=$D19,1&lt;=$E19),IF($F19="완료","●",IF($F19="진행중","▶",IF($F19="제외",".",IF($F19="보류","◇","■")))),"")</f>
        <v/>
      </c>
      <c r="I19" s="52">
        <f>IF(AND(2&gt;=$D19,2&lt;=$E19),IF($F19="완료","●",IF($F19="진행중","▶",IF($F19="제외",".",IF($F19="보류","◇","■")))),"")</f>
        <v/>
      </c>
      <c r="J19" s="52">
        <f>IF(AND(3&gt;=$D19,3&lt;=$E19),IF($F19="완료","●",IF($F19="진행중","▶",IF($F19="제외",".",IF($F19="보류","◇","■")))),"")</f>
        <v/>
      </c>
      <c r="K19" s="52">
        <f>IF(AND(4&gt;=$D19,4&lt;=$E19),IF($F19="완료","●",IF($F19="진행중","▶",IF($F19="제외",".",IF($F19="보류","◇","■")))),"")</f>
        <v/>
      </c>
      <c r="L19" s="52">
        <f>IF(AND(5&gt;=$D19,5&lt;=$E19),IF($F19="완료","●",IF($F19="진행중","▶",IF($F19="제외",".",IF($F19="보류","◇","■")))),"")</f>
        <v/>
      </c>
      <c r="M19" s="52">
        <f>IF(AND(6&gt;=$D19,6&lt;=$E19),IF($F19="완료","●",IF($F19="진행중","▶",IF($F19="제외",".",IF($F19="보류","◇","■")))),"")</f>
        <v/>
      </c>
      <c r="N19" s="52">
        <f>IF(AND(7&gt;=$D19,7&lt;=$E19),IF($F19="완료","●",IF($F19="진행중","▶",IF($F19="제외",".",IF($F19="보류","◇","■")))),"")</f>
        <v/>
      </c>
      <c r="O19" s="52">
        <f>IF(AND(8&gt;=$D19,8&lt;=$E19),IF($F19="완료","●",IF($F19="진행중","▶",IF($F19="제외",".",IF($F19="보류","◇","■")))),"")</f>
        <v/>
      </c>
      <c r="P19" s="52">
        <f>IF(AND(9&gt;=$D19,9&lt;=$E19),IF($F19="완료","●",IF($F19="진행중","▶",IF($F19="제외",".",IF($F19="보류","◇","■")))),"")</f>
        <v/>
      </c>
      <c r="Q19" s="52">
        <f>IF(AND(10&gt;=$D19,10&lt;=$E19),IF($F19="완료","●",IF($F19="진행중","▶",IF($F19="제외",".",IF($F19="보류","◇","■")))),"")</f>
        <v/>
      </c>
      <c r="R19" s="52">
        <f>IF(AND(11&gt;=$D19,11&lt;=$E19),IF($F19="완료","●",IF($F19="진행중","▶",IF($F19="제외",".",IF($F19="보류","◇","■")))),"")</f>
        <v/>
      </c>
      <c r="S19" s="52">
        <f>IF(AND(12&gt;=$D19,12&lt;=$E19),IF($F19="완료","●",IF($F19="진행중","▶",IF($F19="제외",".",IF($F19="보류","◇","■")))),"")</f>
        <v/>
      </c>
      <c r="T19" s="52">
        <f>IF(AND(13&gt;=$D19,13&lt;=$E19),IF($F19="완료","●",IF($F19="진행중","▶",IF($F19="제외",".",IF($F19="보류","◇","■")))),"")</f>
        <v/>
      </c>
      <c r="U19" s="52">
        <f>IF(AND(14&gt;=$D19,14&lt;=$E19),IF($F19="완료","●",IF($F19="진행중","▶",IF($F19="제외",".",IF($F19="보류","◇","■")))),"")</f>
        <v/>
      </c>
      <c r="V19" s="52">
        <f>IF(AND(15&gt;=$D19,15&lt;=$E19),IF($F19="완료","●",IF($F19="진행중","▶",IF($F19="제외",".",IF($F19="보류","◇","■")))),"")</f>
        <v/>
      </c>
    </row>
    <row r="20" ht="18" customHeight="1">
      <c r="A20" s="23" t="inlineStr">
        <is>
          <t>스프린트</t>
        </is>
      </c>
      <c r="B20" s="24" t="inlineStr">
        <is>
          <t>S-T2 성능·보안</t>
        </is>
      </c>
      <c r="C20" s="23" t="inlineStr">
        <is>
          <t>공동</t>
        </is>
      </c>
      <c r="D20" s="23" t="n">
        <v>13</v>
      </c>
      <c r="E20" s="23" t="n">
        <v>13</v>
      </c>
      <c r="F20" s="23" t="inlineStr">
        <is>
          <t>대기</t>
        </is>
      </c>
      <c r="G20" s="24" t="inlineStr"/>
      <c r="H20" s="52">
        <f>IF(AND(1&gt;=$D20,1&lt;=$E20),IF($F20="완료","●",IF($F20="진행중","▶",IF($F20="제외",".",IF($F20="보류","◇","■")))),"")</f>
        <v/>
      </c>
      <c r="I20" s="52">
        <f>IF(AND(2&gt;=$D20,2&lt;=$E20),IF($F20="완료","●",IF($F20="진행중","▶",IF($F20="제외",".",IF($F20="보류","◇","■")))),"")</f>
        <v/>
      </c>
      <c r="J20" s="52">
        <f>IF(AND(3&gt;=$D20,3&lt;=$E20),IF($F20="완료","●",IF($F20="진행중","▶",IF($F20="제외",".",IF($F20="보류","◇","■")))),"")</f>
        <v/>
      </c>
      <c r="K20" s="52">
        <f>IF(AND(4&gt;=$D20,4&lt;=$E20),IF($F20="완료","●",IF($F20="진행중","▶",IF($F20="제외",".",IF($F20="보류","◇","■")))),"")</f>
        <v/>
      </c>
      <c r="L20" s="52">
        <f>IF(AND(5&gt;=$D20,5&lt;=$E20),IF($F20="완료","●",IF($F20="진행중","▶",IF($F20="제외",".",IF($F20="보류","◇","■")))),"")</f>
        <v/>
      </c>
      <c r="M20" s="52">
        <f>IF(AND(6&gt;=$D20,6&lt;=$E20),IF($F20="완료","●",IF($F20="진행중","▶",IF($F20="제외",".",IF($F20="보류","◇","■")))),"")</f>
        <v/>
      </c>
      <c r="N20" s="52">
        <f>IF(AND(7&gt;=$D20,7&lt;=$E20),IF($F20="완료","●",IF($F20="진행중","▶",IF($F20="제외",".",IF($F20="보류","◇","■")))),"")</f>
        <v/>
      </c>
      <c r="O20" s="52">
        <f>IF(AND(8&gt;=$D20,8&lt;=$E20),IF($F20="완료","●",IF($F20="진행중","▶",IF($F20="제외",".",IF($F20="보류","◇","■")))),"")</f>
        <v/>
      </c>
      <c r="P20" s="52">
        <f>IF(AND(9&gt;=$D20,9&lt;=$E20),IF($F20="완료","●",IF($F20="진행중","▶",IF($F20="제외",".",IF($F20="보류","◇","■")))),"")</f>
        <v/>
      </c>
      <c r="Q20" s="52">
        <f>IF(AND(10&gt;=$D20,10&lt;=$E20),IF($F20="완료","●",IF($F20="진행중","▶",IF($F20="제외",".",IF($F20="보류","◇","■")))),"")</f>
        <v/>
      </c>
      <c r="R20" s="52">
        <f>IF(AND(11&gt;=$D20,11&lt;=$E20),IF($F20="완료","●",IF($F20="진행중","▶",IF($F20="제외",".",IF($F20="보류","◇","■")))),"")</f>
        <v/>
      </c>
      <c r="S20" s="52">
        <f>IF(AND(12&gt;=$D20,12&lt;=$E20),IF($F20="완료","●",IF($F20="진행중","▶",IF($F20="제외",".",IF($F20="보류","◇","■")))),"")</f>
        <v/>
      </c>
      <c r="T20" s="52">
        <f>IF(AND(13&gt;=$D20,13&lt;=$E20),IF($F20="완료","●",IF($F20="진행중","▶",IF($F20="제외",".",IF($F20="보류","◇","■")))),"")</f>
        <v/>
      </c>
      <c r="U20" s="52">
        <f>IF(AND(14&gt;=$D20,14&lt;=$E20),IF($F20="완료","●",IF($F20="진행중","▶",IF($F20="제외",".",IF($F20="보류","◇","■")))),"")</f>
        <v/>
      </c>
      <c r="V20" s="52">
        <f>IF(AND(15&gt;=$D20,15&lt;=$E20),IF($F20="완료","●",IF($F20="진행중","▶",IF($F20="제외",".",IF($F20="보류","◇","■")))),"")</f>
        <v/>
      </c>
    </row>
    <row r="21" ht="18" customHeight="1">
      <c r="A21" s="23" t="inlineStr">
        <is>
          <t>스프린트</t>
        </is>
      </c>
      <c r="B21" s="24" t="inlineStr">
        <is>
          <t>S-R1 매뉴얼·설치</t>
        </is>
      </c>
      <c r="C21" s="23" t="inlineStr">
        <is>
          <t>공동</t>
        </is>
      </c>
      <c r="D21" s="23" t="n">
        <v>14</v>
      </c>
      <c r="E21" s="23" t="n">
        <v>14</v>
      </c>
      <c r="F21" s="23" t="inlineStr">
        <is>
          <t>대기</t>
        </is>
      </c>
      <c r="G21" s="24" t="inlineStr"/>
      <c r="H21" s="52">
        <f>IF(AND(1&gt;=$D21,1&lt;=$E21),IF($F21="완료","●",IF($F21="진행중","▶",IF($F21="제외",".",IF($F21="보류","◇","■")))),"")</f>
        <v/>
      </c>
      <c r="I21" s="52">
        <f>IF(AND(2&gt;=$D21,2&lt;=$E21),IF($F21="완료","●",IF($F21="진행중","▶",IF($F21="제외",".",IF($F21="보류","◇","■")))),"")</f>
        <v/>
      </c>
      <c r="J21" s="52">
        <f>IF(AND(3&gt;=$D21,3&lt;=$E21),IF($F21="완료","●",IF($F21="진행중","▶",IF($F21="제외",".",IF($F21="보류","◇","■")))),"")</f>
        <v/>
      </c>
      <c r="K21" s="52">
        <f>IF(AND(4&gt;=$D21,4&lt;=$E21),IF($F21="완료","●",IF($F21="진행중","▶",IF($F21="제외",".",IF($F21="보류","◇","■")))),"")</f>
        <v/>
      </c>
      <c r="L21" s="52">
        <f>IF(AND(5&gt;=$D21,5&lt;=$E21),IF($F21="완료","●",IF($F21="진행중","▶",IF($F21="제외",".",IF($F21="보류","◇","■")))),"")</f>
        <v/>
      </c>
      <c r="M21" s="52">
        <f>IF(AND(6&gt;=$D21,6&lt;=$E21),IF($F21="완료","●",IF($F21="진행중","▶",IF($F21="제외",".",IF($F21="보류","◇","■")))),"")</f>
        <v/>
      </c>
      <c r="N21" s="52">
        <f>IF(AND(7&gt;=$D21,7&lt;=$E21),IF($F21="완료","●",IF($F21="진행중","▶",IF($F21="제외",".",IF($F21="보류","◇","■")))),"")</f>
        <v/>
      </c>
      <c r="O21" s="52">
        <f>IF(AND(8&gt;=$D21,8&lt;=$E21),IF($F21="완료","●",IF($F21="진행중","▶",IF($F21="제외",".",IF($F21="보류","◇","■")))),"")</f>
        <v/>
      </c>
      <c r="P21" s="52">
        <f>IF(AND(9&gt;=$D21,9&lt;=$E21),IF($F21="완료","●",IF($F21="진행중","▶",IF($F21="제외",".",IF($F21="보류","◇","■")))),"")</f>
        <v/>
      </c>
      <c r="Q21" s="52">
        <f>IF(AND(10&gt;=$D21,10&lt;=$E21),IF($F21="완료","●",IF($F21="진행중","▶",IF($F21="제외",".",IF($F21="보류","◇","■")))),"")</f>
        <v/>
      </c>
      <c r="R21" s="52">
        <f>IF(AND(11&gt;=$D21,11&lt;=$E21),IF($F21="완료","●",IF($F21="진행중","▶",IF($F21="제외",".",IF($F21="보류","◇","■")))),"")</f>
        <v/>
      </c>
      <c r="S21" s="52">
        <f>IF(AND(12&gt;=$D21,12&lt;=$E21),IF($F21="완료","●",IF($F21="진행중","▶",IF($F21="제외",".",IF($F21="보류","◇","■")))),"")</f>
        <v/>
      </c>
      <c r="T21" s="52">
        <f>IF(AND(13&gt;=$D21,13&lt;=$E21),IF($F21="완료","●",IF($F21="진행중","▶",IF($F21="제외",".",IF($F21="보류","◇","■")))),"")</f>
        <v/>
      </c>
      <c r="U21" s="52">
        <f>IF(AND(14&gt;=$D21,14&lt;=$E21),IF($F21="완료","●",IF($F21="진행중","▶",IF($F21="제외",".",IF($F21="보류","◇","■")))),"")</f>
        <v/>
      </c>
      <c r="V21" s="52">
        <f>IF(AND(15&gt;=$D21,15&lt;=$E21),IF($F21="완료","●",IF($F21="진행중","▶",IF($F21="제외",".",IF($F21="보류","◇","■")))),"")</f>
        <v/>
      </c>
    </row>
    <row r="22" ht="18" customHeight="1">
      <c r="A22" s="23" t="inlineStr">
        <is>
          <t>스프린트</t>
        </is>
      </c>
      <c r="B22" s="24" t="inlineStr">
        <is>
          <t>S-R2 시연·발표</t>
        </is>
      </c>
      <c r="C22" s="23" t="inlineStr">
        <is>
          <t>조찬희</t>
        </is>
      </c>
      <c r="D22" s="23" t="n">
        <v>15</v>
      </c>
      <c r="E22" s="23" t="n">
        <v>15</v>
      </c>
      <c r="F22" s="23" t="inlineStr">
        <is>
          <t>대기</t>
        </is>
      </c>
      <c r="G22" s="24" t="inlineStr"/>
      <c r="H22" s="52">
        <f>IF(AND(1&gt;=$D22,1&lt;=$E22),IF($F22="완료","●",IF($F22="진행중","▶",IF($F22="제외",".",IF($F22="보류","◇","■")))),"")</f>
        <v/>
      </c>
      <c r="I22" s="52">
        <f>IF(AND(2&gt;=$D22,2&lt;=$E22),IF($F22="완료","●",IF($F22="진행중","▶",IF($F22="제외",".",IF($F22="보류","◇","■")))),"")</f>
        <v/>
      </c>
      <c r="J22" s="52">
        <f>IF(AND(3&gt;=$D22,3&lt;=$E22),IF($F22="완료","●",IF($F22="진행중","▶",IF($F22="제외",".",IF($F22="보류","◇","■")))),"")</f>
        <v/>
      </c>
      <c r="K22" s="52">
        <f>IF(AND(4&gt;=$D22,4&lt;=$E22),IF($F22="완료","●",IF($F22="진행중","▶",IF($F22="제외",".",IF($F22="보류","◇","■")))),"")</f>
        <v/>
      </c>
      <c r="L22" s="52">
        <f>IF(AND(5&gt;=$D22,5&lt;=$E22),IF($F22="완료","●",IF($F22="진행중","▶",IF($F22="제외",".",IF($F22="보류","◇","■")))),"")</f>
        <v/>
      </c>
      <c r="M22" s="52">
        <f>IF(AND(6&gt;=$D22,6&lt;=$E22),IF($F22="완료","●",IF($F22="진행중","▶",IF($F22="제외",".",IF($F22="보류","◇","■")))),"")</f>
        <v/>
      </c>
      <c r="N22" s="52">
        <f>IF(AND(7&gt;=$D22,7&lt;=$E22),IF($F22="완료","●",IF($F22="진행중","▶",IF($F22="제외",".",IF($F22="보류","◇","■")))),"")</f>
        <v/>
      </c>
      <c r="O22" s="52">
        <f>IF(AND(8&gt;=$D22,8&lt;=$E22),IF($F22="완료","●",IF($F22="진행중","▶",IF($F22="제외",".",IF($F22="보류","◇","■")))),"")</f>
        <v/>
      </c>
      <c r="P22" s="52">
        <f>IF(AND(9&gt;=$D22,9&lt;=$E22),IF($F22="완료","●",IF($F22="진행중","▶",IF($F22="제외",".",IF($F22="보류","◇","■")))),"")</f>
        <v/>
      </c>
      <c r="Q22" s="52">
        <f>IF(AND(10&gt;=$D22,10&lt;=$E22),IF($F22="완료","●",IF($F22="진행중","▶",IF($F22="제외",".",IF($F22="보류","◇","■")))),"")</f>
        <v/>
      </c>
      <c r="R22" s="52">
        <f>IF(AND(11&gt;=$D22,11&lt;=$E22),IF($F22="완료","●",IF($F22="진행중","▶",IF($F22="제외",".",IF($F22="보류","◇","■")))),"")</f>
        <v/>
      </c>
      <c r="S22" s="52">
        <f>IF(AND(12&gt;=$D22,12&lt;=$E22),IF($F22="완료","●",IF($F22="진행중","▶",IF($F22="제외",".",IF($F22="보류","◇","■")))),"")</f>
        <v/>
      </c>
      <c r="T22" s="52">
        <f>IF(AND(13&gt;=$D22,13&lt;=$E22),IF($F22="완료","●",IF($F22="진행중","▶",IF($F22="제외",".",IF($F22="보류","◇","■")))),"")</f>
        <v/>
      </c>
      <c r="U22" s="52">
        <f>IF(AND(14&gt;=$D22,14&lt;=$E22),IF($F22="완료","●",IF($F22="진행중","▶",IF($F22="제외",".",IF($F22="보류","◇","■")))),"")</f>
        <v/>
      </c>
      <c r="V22" s="52">
        <f>IF(AND(15&gt;=$D22,15&lt;=$E22),IF($F22="완료","●",IF($F22="진행중","▶",IF($F22="제외",".",IF($F22="보류","◇","■")))),"")</f>
        <v/>
      </c>
    </row>
    <row r="23" ht="18" customHeight="1">
      <c r="A23" s="23" t="inlineStr">
        <is>
          <t>마일스톤</t>
        </is>
      </c>
      <c r="B23" s="53" t="inlineStr">
        <is>
          <t>M1 분석 완료</t>
        </is>
      </c>
      <c r="C23" s="23" t="inlineStr">
        <is>
          <t>조찬희</t>
        </is>
      </c>
      <c r="D23" s="23" t="n">
        <v>3</v>
      </c>
      <c r="E23" s="23" t="n">
        <v>3</v>
      </c>
      <c r="F23" s="23" t="inlineStr">
        <is>
          <t>완료</t>
        </is>
      </c>
      <c r="G23" s="24" t="inlineStr"/>
      <c r="H23" s="52">
        <f>IF(AND(1&gt;=$D23,1&lt;=$E23),IF($F23="완료","●",IF($F23="진행중","▶",IF($F23="제외",".",IF($F23="보류","◇","■")))),"")</f>
        <v/>
      </c>
      <c r="I23" s="52">
        <f>IF(AND(2&gt;=$D23,2&lt;=$E23),IF($F23="완료","●",IF($F23="진행중","▶",IF($F23="제외",".",IF($F23="보류","◇","■")))),"")</f>
        <v/>
      </c>
      <c r="J23" s="52">
        <f>IF(AND(3&gt;=$D23,3&lt;=$E23),IF($F23="완료","●",IF($F23="진행중","▶",IF($F23="제외",".",IF($F23="보류","◇","■")))),"")</f>
        <v/>
      </c>
      <c r="K23" s="52">
        <f>IF(AND(4&gt;=$D23,4&lt;=$E23),IF($F23="완료","●",IF($F23="진행중","▶",IF($F23="제외",".",IF($F23="보류","◇","■")))),"")</f>
        <v/>
      </c>
      <c r="L23" s="52">
        <f>IF(AND(5&gt;=$D23,5&lt;=$E23),IF($F23="완료","●",IF($F23="진행중","▶",IF($F23="제외",".",IF($F23="보류","◇","■")))),"")</f>
        <v/>
      </c>
      <c r="M23" s="52">
        <f>IF(AND(6&gt;=$D23,6&lt;=$E23),IF($F23="완료","●",IF($F23="진행중","▶",IF($F23="제외",".",IF($F23="보류","◇","■")))),"")</f>
        <v/>
      </c>
      <c r="N23" s="52">
        <f>IF(AND(7&gt;=$D23,7&lt;=$E23),IF($F23="완료","●",IF($F23="진행중","▶",IF($F23="제외",".",IF($F23="보류","◇","■")))),"")</f>
        <v/>
      </c>
      <c r="O23" s="52">
        <f>IF(AND(8&gt;=$D23,8&lt;=$E23),IF($F23="완료","●",IF($F23="진행중","▶",IF($F23="제외",".",IF($F23="보류","◇","■")))),"")</f>
        <v/>
      </c>
      <c r="P23" s="52">
        <f>IF(AND(9&gt;=$D23,9&lt;=$E23),IF($F23="완료","●",IF($F23="진행중","▶",IF($F23="제외",".",IF($F23="보류","◇","■")))),"")</f>
        <v/>
      </c>
      <c r="Q23" s="52">
        <f>IF(AND(10&gt;=$D23,10&lt;=$E23),IF($F23="완료","●",IF($F23="진행중","▶",IF($F23="제외",".",IF($F23="보류","◇","■")))),"")</f>
        <v/>
      </c>
      <c r="R23" s="52">
        <f>IF(AND(11&gt;=$D23,11&lt;=$E23),IF($F23="완료","●",IF($F23="진행중","▶",IF($F23="제외",".",IF($F23="보류","◇","■")))),"")</f>
        <v/>
      </c>
      <c r="S23" s="52">
        <f>IF(AND(12&gt;=$D23,12&lt;=$E23),IF($F23="완료","●",IF($F23="진행중","▶",IF($F23="제외",".",IF($F23="보류","◇","■")))),"")</f>
        <v/>
      </c>
      <c r="T23" s="52">
        <f>IF(AND(13&gt;=$D23,13&lt;=$E23),IF($F23="완료","●",IF($F23="진행중","▶",IF($F23="제외",".",IF($F23="보류","◇","■")))),"")</f>
        <v/>
      </c>
      <c r="U23" s="52">
        <f>IF(AND(14&gt;=$D23,14&lt;=$E23),IF($F23="완료","●",IF($F23="진행중","▶",IF($F23="제외",".",IF($F23="보류","◇","■")))),"")</f>
        <v/>
      </c>
      <c r="V23" s="52">
        <f>IF(AND(15&gt;=$D23,15&lt;=$E23),IF($F23="완료","●",IF($F23="진행중","▶",IF($F23="제외",".",IF($F23="보류","◇","■")))),"")</f>
        <v/>
      </c>
    </row>
    <row r="24" ht="18" customHeight="1">
      <c r="A24" s="23" t="inlineStr">
        <is>
          <t>마일스톤</t>
        </is>
      </c>
      <c r="B24" s="53" t="inlineStr">
        <is>
          <t>M2 설계 완료</t>
        </is>
      </c>
      <c r="C24" s="23" t="inlineStr">
        <is>
          <t>공동</t>
        </is>
      </c>
      <c r="D24" s="23" t="n">
        <v>5</v>
      </c>
      <c r="E24" s="23" t="n">
        <v>5</v>
      </c>
      <c r="F24" s="23" t="inlineStr">
        <is>
          <t>대기</t>
        </is>
      </c>
      <c r="G24" s="24" t="inlineStr">
        <is>
          <t>S1 게이트</t>
        </is>
      </c>
      <c r="H24" s="52">
        <f>IF(AND(1&gt;=$D24,1&lt;=$E24),IF($F24="완료","●",IF($F24="진행중","▶",IF($F24="제외",".",IF($F24="보류","◇","■")))),"")</f>
        <v/>
      </c>
      <c r="I24" s="52">
        <f>IF(AND(2&gt;=$D24,2&lt;=$E24),IF($F24="완료","●",IF($F24="진행중","▶",IF($F24="제외",".",IF($F24="보류","◇","■")))),"")</f>
        <v/>
      </c>
      <c r="J24" s="52">
        <f>IF(AND(3&gt;=$D24,3&lt;=$E24),IF($F24="완료","●",IF($F24="진행중","▶",IF($F24="제외",".",IF($F24="보류","◇","■")))),"")</f>
        <v/>
      </c>
      <c r="K24" s="52">
        <f>IF(AND(4&gt;=$D24,4&lt;=$E24),IF($F24="완료","●",IF($F24="진행중","▶",IF($F24="제외",".",IF($F24="보류","◇","■")))),"")</f>
        <v/>
      </c>
      <c r="L24" s="52">
        <f>IF(AND(5&gt;=$D24,5&lt;=$E24),IF($F24="완료","●",IF($F24="진행중","▶",IF($F24="제외",".",IF($F24="보류","◇","■")))),"")</f>
        <v/>
      </c>
      <c r="M24" s="52">
        <f>IF(AND(6&gt;=$D24,6&lt;=$E24),IF($F24="완료","●",IF($F24="진행중","▶",IF($F24="제외",".",IF($F24="보류","◇","■")))),"")</f>
        <v/>
      </c>
      <c r="N24" s="52">
        <f>IF(AND(7&gt;=$D24,7&lt;=$E24),IF($F24="완료","●",IF($F24="진행중","▶",IF($F24="제외",".",IF($F24="보류","◇","■")))),"")</f>
        <v/>
      </c>
      <c r="O24" s="52">
        <f>IF(AND(8&gt;=$D24,8&lt;=$E24),IF($F24="완료","●",IF($F24="진행중","▶",IF($F24="제외",".",IF($F24="보류","◇","■")))),"")</f>
        <v/>
      </c>
      <c r="P24" s="52">
        <f>IF(AND(9&gt;=$D24,9&lt;=$E24),IF($F24="완료","●",IF($F24="진행중","▶",IF($F24="제외",".",IF($F24="보류","◇","■")))),"")</f>
        <v/>
      </c>
      <c r="Q24" s="52">
        <f>IF(AND(10&gt;=$D24,10&lt;=$E24),IF($F24="완료","●",IF($F24="진행중","▶",IF($F24="제외",".",IF($F24="보류","◇","■")))),"")</f>
        <v/>
      </c>
      <c r="R24" s="52">
        <f>IF(AND(11&gt;=$D24,11&lt;=$E24),IF($F24="완료","●",IF($F24="진행중","▶",IF($F24="제외",".",IF($F24="보류","◇","■")))),"")</f>
        <v/>
      </c>
      <c r="S24" s="52">
        <f>IF(AND(12&gt;=$D24,12&lt;=$E24),IF($F24="완료","●",IF($F24="진행중","▶",IF($F24="제외",".",IF($F24="보류","◇","■")))),"")</f>
        <v/>
      </c>
      <c r="T24" s="52">
        <f>IF(AND(13&gt;=$D24,13&lt;=$E24),IF($F24="완료","●",IF($F24="진행중","▶",IF($F24="제외",".",IF($F24="보류","◇","■")))),"")</f>
        <v/>
      </c>
      <c r="U24" s="52">
        <f>IF(AND(14&gt;=$D24,14&lt;=$E24),IF($F24="완료","●",IF($F24="진행중","▶",IF($F24="제외",".",IF($F24="보류","◇","■")))),"")</f>
        <v/>
      </c>
      <c r="V24" s="52">
        <f>IF(AND(15&gt;=$D24,15&lt;=$E24),IF($F24="완료","●",IF($F24="진행중","▶",IF($F24="제외",".",IF($F24="보류","◇","■")))),"")</f>
        <v/>
      </c>
    </row>
    <row r="25" ht="18" customHeight="1">
      <c r="A25" s="23" t="inlineStr">
        <is>
          <t>마일스톤</t>
        </is>
      </c>
      <c r="B25" s="53" t="inlineStr">
        <is>
          <t>M3 수집 슬라이스</t>
        </is>
      </c>
      <c r="C25" s="23" t="inlineStr">
        <is>
          <t>기경현</t>
        </is>
      </c>
      <c r="D25" s="23" t="n">
        <v>7</v>
      </c>
      <c r="E25" s="23" t="n">
        <v>7</v>
      </c>
      <c r="F25" s="23" t="inlineStr">
        <is>
          <t>대기</t>
        </is>
      </c>
      <c r="G25" s="24" t="inlineStr"/>
      <c r="H25" s="52">
        <f>IF(AND(1&gt;=$D25,1&lt;=$E25),IF($F25="완료","●",IF($F25="진행중","▶",IF($F25="제외",".",IF($F25="보류","◇","■")))),"")</f>
        <v/>
      </c>
      <c r="I25" s="52">
        <f>IF(AND(2&gt;=$D25,2&lt;=$E25),IF($F25="완료","●",IF($F25="진행중","▶",IF($F25="제외",".",IF($F25="보류","◇","■")))),"")</f>
        <v/>
      </c>
      <c r="J25" s="52">
        <f>IF(AND(3&gt;=$D25,3&lt;=$E25),IF($F25="완료","●",IF($F25="진행중","▶",IF($F25="제외",".",IF($F25="보류","◇","■")))),"")</f>
        <v/>
      </c>
      <c r="K25" s="52">
        <f>IF(AND(4&gt;=$D25,4&lt;=$E25),IF($F25="완료","●",IF($F25="진행중","▶",IF($F25="제외",".",IF($F25="보류","◇","■")))),"")</f>
        <v/>
      </c>
      <c r="L25" s="52">
        <f>IF(AND(5&gt;=$D25,5&lt;=$E25),IF($F25="완료","●",IF($F25="진행중","▶",IF($F25="제외",".",IF($F25="보류","◇","■")))),"")</f>
        <v/>
      </c>
      <c r="M25" s="52">
        <f>IF(AND(6&gt;=$D25,6&lt;=$E25),IF($F25="완료","●",IF($F25="진행중","▶",IF($F25="제외",".",IF($F25="보류","◇","■")))),"")</f>
        <v/>
      </c>
      <c r="N25" s="52">
        <f>IF(AND(7&gt;=$D25,7&lt;=$E25),IF($F25="완료","●",IF($F25="진행중","▶",IF($F25="제외",".",IF($F25="보류","◇","■")))),"")</f>
        <v/>
      </c>
      <c r="O25" s="52">
        <f>IF(AND(8&gt;=$D25,8&lt;=$E25),IF($F25="완료","●",IF($F25="진행중","▶",IF($F25="제외",".",IF($F25="보류","◇","■")))),"")</f>
        <v/>
      </c>
      <c r="P25" s="52">
        <f>IF(AND(9&gt;=$D25,9&lt;=$E25),IF($F25="완료","●",IF($F25="진행중","▶",IF($F25="제외",".",IF($F25="보류","◇","■")))),"")</f>
        <v/>
      </c>
      <c r="Q25" s="52">
        <f>IF(AND(10&gt;=$D25,10&lt;=$E25),IF($F25="완료","●",IF($F25="진행중","▶",IF($F25="제외",".",IF($F25="보류","◇","■")))),"")</f>
        <v/>
      </c>
      <c r="R25" s="52">
        <f>IF(AND(11&gt;=$D25,11&lt;=$E25),IF($F25="완료","●",IF($F25="진행중","▶",IF($F25="제외",".",IF($F25="보류","◇","■")))),"")</f>
        <v/>
      </c>
      <c r="S25" s="52">
        <f>IF(AND(12&gt;=$D25,12&lt;=$E25),IF($F25="완료","●",IF($F25="진행중","▶",IF($F25="제외",".",IF($F25="보류","◇","■")))),"")</f>
        <v/>
      </c>
      <c r="T25" s="52">
        <f>IF(AND(13&gt;=$D25,13&lt;=$E25),IF($F25="완료","●",IF($F25="진행중","▶",IF($F25="제외",".",IF($F25="보류","◇","■")))),"")</f>
        <v/>
      </c>
      <c r="U25" s="52">
        <f>IF(AND(14&gt;=$D25,14&lt;=$E25),IF($F25="완료","●",IF($F25="진행중","▶",IF($F25="제외",".",IF($F25="보류","◇","■")))),"")</f>
        <v/>
      </c>
      <c r="V25" s="52">
        <f>IF(AND(15&gt;=$D25,15&lt;=$E25),IF($F25="완료","●",IF($F25="진행중","▶",IF($F25="제외",".",IF($F25="보류","◇","■")))),"")</f>
        <v/>
      </c>
    </row>
    <row r="26" ht="18" customHeight="1">
      <c r="A26" s="23" t="inlineStr">
        <is>
          <t>마일스톤</t>
        </is>
      </c>
      <c r="B26" s="53" t="inlineStr">
        <is>
          <t>M4 검지 데모</t>
        </is>
      </c>
      <c r="C26" s="23" t="inlineStr">
        <is>
          <t>기경현</t>
        </is>
      </c>
      <c r="D26" s="23" t="n">
        <v>9</v>
      </c>
      <c r="E26" s="23" t="n">
        <v>9</v>
      </c>
      <c r="F26" s="23" t="inlineStr">
        <is>
          <t>대기</t>
        </is>
      </c>
      <c r="G26" s="24" t="inlineStr"/>
      <c r="H26" s="52">
        <f>IF(AND(1&gt;=$D26,1&lt;=$E26),IF($F26="완료","●",IF($F26="진행중","▶",IF($F26="제외",".",IF($F26="보류","◇","■")))),"")</f>
        <v/>
      </c>
      <c r="I26" s="52">
        <f>IF(AND(2&gt;=$D26,2&lt;=$E26),IF($F26="완료","●",IF($F26="진행중","▶",IF($F26="제외",".",IF($F26="보류","◇","■")))),"")</f>
        <v/>
      </c>
      <c r="J26" s="52">
        <f>IF(AND(3&gt;=$D26,3&lt;=$E26),IF($F26="완료","●",IF($F26="진행중","▶",IF($F26="제외",".",IF($F26="보류","◇","■")))),"")</f>
        <v/>
      </c>
      <c r="K26" s="52">
        <f>IF(AND(4&gt;=$D26,4&lt;=$E26),IF($F26="완료","●",IF($F26="진행중","▶",IF($F26="제외",".",IF($F26="보류","◇","■")))),"")</f>
        <v/>
      </c>
      <c r="L26" s="52">
        <f>IF(AND(5&gt;=$D26,5&lt;=$E26),IF($F26="완료","●",IF($F26="진행중","▶",IF($F26="제외",".",IF($F26="보류","◇","■")))),"")</f>
        <v/>
      </c>
      <c r="M26" s="52">
        <f>IF(AND(6&gt;=$D26,6&lt;=$E26),IF($F26="완료","●",IF($F26="진행중","▶",IF($F26="제외",".",IF($F26="보류","◇","■")))),"")</f>
        <v/>
      </c>
      <c r="N26" s="52">
        <f>IF(AND(7&gt;=$D26,7&lt;=$E26),IF($F26="완료","●",IF($F26="진행중","▶",IF($F26="제외",".",IF($F26="보류","◇","■")))),"")</f>
        <v/>
      </c>
      <c r="O26" s="52">
        <f>IF(AND(8&gt;=$D26,8&lt;=$E26),IF($F26="완료","●",IF($F26="진행중","▶",IF($F26="제외",".",IF($F26="보류","◇","■")))),"")</f>
        <v/>
      </c>
      <c r="P26" s="52">
        <f>IF(AND(9&gt;=$D26,9&lt;=$E26),IF($F26="완료","●",IF($F26="진행중","▶",IF($F26="제외",".",IF($F26="보류","◇","■")))),"")</f>
        <v/>
      </c>
      <c r="Q26" s="52">
        <f>IF(AND(10&gt;=$D26,10&lt;=$E26),IF($F26="완료","●",IF($F26="진행중","▶",IF($F26="제외",".",IF($F26="보류","◇","■")))),"")</f>
        <v/>
      </c>
      <c r="R26" s="52">
        <f>IF(AND(11&gt;=$D26,11&lt;=$E26),IF($F26="완료","●",IF($F26="진행중","▶",IF($F26="제외",".",IF($F26="보류","◇","■")))),"")</f>
        <v/>
      </c>
      <c r="S26" s="52">
        <f>IF(AND(12&gt;=$D26,12&lt;=$E26),IF($F26="완료","●",IF($F26="진행중","▶",IF($F26="제외",".",IF($F26="보류","◇","■")))),"")</f>
        <v/>
      </c>
      <c r="T26" s="52">
        <f>IF(AND(13&gt;=$D26,13&lt;=$E26),IF($F26="완료","●",IF($F26="진행중","▶",IF($F26="제외",".",IF($F26="보류","◇","■")))),"")</f>
        <v/>
      </c>
      <c r="U26" s="52">
        <f>IF(AND(14&gt;=$D26,14&lt;=$E26),IF($F26="완료","●",IF($F26="진행중","▶",IF($F26="제외",".",IF($F26="보류","◇","■")))),"")</f>
        <v/>
      </c>
      <c r="V26" s="52">
        <f>IF(AND(15&gt;=$D26,15&lt;=$E26),IF($F26="완료","●",IF($F26="진행중","▶",IF($F26="제외",".",IF($F26="보류","◇","■")))),"")</f>
        <v/>
      </c>
    </row>
    <row r="27" ht="18" customHeight="1">
      <c r="A27" s="23" t="inlineStr">
        <is>
          <t>마일스톤</t>
        </is>
      </c>
      <c r="B27" s="53" t="inlineStr">
        <is>
          <t>M5 MVP 기능 동결</t>
        </is>
      </c>
      <c r="C27" s="23" t="inlineStr">
        <is>
          <t>공동</t>
        </is>
      </c>
      <c r="D27" s="23" t="n">
        <v>11</v>
      </c>
      <c r="E27" s="23" t="n">
        <v>11</v>
      </c>
      <c r="F27" s="23" t="inlineStr">
        <is>
          <t>대기</t>
        </is>
      </c>
      <c r="G27" s="24" t="inlineStr"/>
      <c r="H27" s="52">
        <f>IF(AND(1&gt;=$D27,1&lt;=$E27),IF($F27="완료","●",IF($F27="진행중","▶",IF($F27="제외",".",IF($F27="보류","◇","■")))),"")</f>
        <v/>
      </c>
      <c r="I27" s="52">
        <f>IF(AND(2&gt;=$D27,2&lt;=$E27),IF($F27="완료","●",IF($F27="진행중","▶",IF($F27="제외",".",IF($F27="보류","◇","■")))),"")</f>
        <v/>
      </c>
      <c r="J27" s="52">
        <f>IF(AND(3&gt;=$D27,3&lt;=$E27),IF($F27="완료","●",IF($F27="진행중","▶",IF($F27="제외",".",IF($F27="보류","◇","■")))),"")</f>
        <v/>
      </c>
      <c r="K27" s="52">
        <f>IF(AND(4&gt;=$D27,4&lt;=$E27),IF($F27="완료","●",IF($F27="진행중","▶",IF($F27="제외",".",IF($F27="보류","◇","■")))),"")</f>
        <v/>
      </c>
      <c r="L27" s="52">
        <f>IF(AND(5&gt;=$D27,5&lt;=$E27),IF($F27="완료","●",IF($F27="진행중","▶",IF($F27="제외",".",IF($F27="보류","◇","■")))),"")</f>
        <v/>
      </c>
      <c r="M27" s="52">
        <f>IF(AND(6&gt;=$D27,6&lt;=$E27),IF($F27="완료","●",IF($F27="진행중","▶",IF($F27="제외",".",IF($F27="보류","◇","■")))),"")</f>
        <v/>
      </c>
      <c r="N27" s="52">
        <f>IF(AND(7&gt;=$D27,7&lt;=$E27),IF($F27="완료","●",IF($F27="진행중","▶",IF($F27="제외",".",IF($F27="보류","◇","■")))),"")</f>
        <v/>
      </c>
      <c r="O27" s="52">
        <f>IF(AND(8&gt;=$D27,8&lt;=$E27),IF($F27="완료","●",IF($F27="진행중","▶",IF($F27="제외",".",IF($F27="보류","◇","■")))),"")</f>
        <v/>
      </c>
      <c r="P27" s="52">
        <f>IF(AND(9&gt;=$D27,9&lt;=$E27),IF($F27="완료","●",IF($F27="진행중","▶",IF($F27="제외",".",IF($F27="보류","◇","■")))),"")</f>
        <v/>
      </c>
      <c r="Q27" s="52">
        <f>IF(AND(10&gt;=$D27,10&lt;=$E27),IF($F27="완료","●",IF($F27="진행중","▶",IF($F27="제외",".",IF($F27="보류","◇","■")))),"")</f>
        <v/>
      </c>
      <c r="R27" s="52">
        <f>IF(AND(11&gt;=$D27,11&lt;=$E27),IF($F27="완료","●",IF($F27="진행중","▶",IF($F27="제외",".",IF($F27="보류","◇","■")))),"")</f>
        <v/>
      </c>
      <c r="S27" s="52">
        <f>IF(AND(12&gt;=$D27,12&lt;=$E27),IF($F27="완료","●",IF($F27="진행중","▶",IF($F27="제외",".",IF($F27="보류","◇","■")))),"")</f>
        <v/>
      </c>
      <c r="T27" s="52">
        <f>IF(AND(13&gt;=$D27,13&lt;=$E27),IF($F27="완료","●",IF($F27="진행중","▶",IF($F27="제외",".",IF($F27="보류","◇","■")))),"")</f>
        <v/>
      </c>
      <c r="U27" s="52">
        <f>IF(AND(14&gt;=$D27,14&lt;=$E27),IF($F27="완료","●",IF($F27="진행중","▶",IF($F27="제외",".",IF($F27="보류","◇","■")))),"")</f>
        <v/>
      </c>
      <c r="V27" s="52">
        <f>IF(AND(15&gt;=$D27,15&lt;=$E27),IF($F27="완료","●",IF($F27="진행중","▶",IF($F27="제외",".",IF($F27="보류","◇","■")))),"")</f>
        <v/>
      </c>
    </row>
    <row r="28" ht="18" customHeight="1">
      <c r="A28" s="23" t="inlineStr">
        <is>
          <t>마일스톤</t>
        </is>
      </c>
      <c r="B28" s="53" t="inlineStr">
        <is>
          <t>M6 시험 완료</t>
        </is>
      </c>
      <c r="C28" s="23" t="inlineStr">
        <is>
          <t>공동</t>
        </is>
      </c>
      <c r="D28" s="23" t="n">
        <v>13</v>
      </c>
      <c r="E28" s="23" t="n">
        <v>13</v>
      </c>
      <c r="F28" s="23" t="inlineStr">
        <is>
          <t>대기</t>
        </is>
      </c>
      <c r="G28" s="24" t="inlineStr"/>
      <c r="H28" s="52">
        <f>IF(AND(1&gt;=$D28,1&lt;=$E28),IF($F28="완료","●",IF($F28="진행중","▶",IF($F28="제외",".",IF($F28="보류","◇","■")))),"")</f>
        <v/>
      </c>
      <c r="I28" s="52">
        <f>IF(AND(2&gt;=$D28,2&lt;=$E28),IF($F28="완료","●",IF($F28="진행중","▶",IF($F28="제외",".",IF($F28="보류","◇","■")))),"")</f>
        <v/>
      </c>
      <c r="J28" s="52">
        <f>IF(AND(3&gt;=$D28,3&lt;=$E28),IF($F28="완료","●",IF($F28="진행중","▶",IF($F28="제외",".",IF($F28="보류","◇","■")))),"")</f>
        <v/>
      </c>
      <c r="K28" s="52">
        <f>IF(AND(4&gt;=$D28,4&lt;=$E28),IF($F28="완료","●",IF($F28="진행중","▶",IF($F28="제외",".",IF($F28="보류","◇","■")))),"")</f>
        <v/>
      </c>
      <c r="L28" s="52">
        <f>IF(AND(5&gt;=$D28,5&lt;=$E28),IF($F28="완료","●",IF($F28="진행중","▶",IF($F28="제외",".",IF($F28="보류","◇","■")))),"")</f>
        <v/>
      </c>
      <c r="M28" s="52">
        <f>IF(AND(6&gt;=$D28,6&lt;=$E28),IF($F28="완료","●",IF($F28="진행중","▶",IF($F28="제외",".",IF($F28="보류","◇","■")))),"")</f>
        <v/>
      </c>
      <c r="N28" s="52">
        <f>IF(AND(7&gt;=$D28,7&lt;=$E28),IF($F28="완료","●",IF($F28="진행중","▶",IF($F28="제외",".",IF($F28="보류","◇","■")))),"")</f>
        <v/>
      </c>
      <c r="O28" s="52">
        <f>IF(AND(8&gt;=$D28,8&lt;=$E28),IF($F28="완료","●",IF($F28="진행중","▶",IF($F28="제외",".",IF($F28="보류","◇","■")))),"")</f>
        <v/>
      </c>
      <c r="P28" s="52">
        <f>IF(AND(9&gt;=$D28,9&lt;=$E28),IF($F28="완료","●",IF($F28="진행중","▶",IF($F28="제외",".",IF($F28="보류","◇","■")))),"")</f>
        <v/>
      </c>
      <c r="Q28" s="52">
        <f>IF(AND(10&gt;=$D28,10&lt;=$E28),IF($F28="완료","●",IF($F28="진행중","▶",IF($F28="제외",".",IF($F28="보류","◇","■")))),"")</f>
        <v/>
      </c>
      <c r="R28" s="52">
        <f>IF(AND(11&gt;=$D28,11&lt;=$E28),IF($F28="완료","●",IF($F28="진행중","▶",IF($F28="제외",".",IF($F28="보류","◇","■")))),"")</f>
        <v/>
      </c>
      <c r="S28" s="52">
        <f>IF(AND(12&gt;=$D28,12&lt;=$E28),IF($F28="완료","●",IF($F28="진행중","▶",IF($F28="제외",".",IF($F28="보류","◇","■")))),"")</f>
        <v/>
      </c>
      <c r="T28" s="52">
        <f>IF(AND(13&gt;=$D28,13&lt;=$E28),IF($F28="완료","●",IF($F28="진행중","▶",IF($F28="제외",".",IF($F28="보류","◇","■")))),"")</f>
        <v/>
      </c>
      <c r="U28" s="52">
        <f>IF(AND(14&gt;=$D28,14&lt;=$E28),IF($F28="완료","●",IF($F28="진행중","▶",IF($F28="제외",".",IF($F28="보류","◇","■")))),"")</f>
        <v/>
      </c>
      <c r="V28" s="52">
        <f>IF(AND(15&gt;=$D28,15&lt;=$E28),IF($F28="완료","●",IF($F28="진행중","▶",IF($F28="제외",".",IF($F28="보류","◇","■")))),"")</f>
        <v/>
      </c>
    </row>
    <row r="29" ht="18" customHeight="1">
      <c r="A29" s="23" t="inlineStr">
        <is>
          <t>마일스톤</t>
        </is>
      </c>
      <c r="B29" s="53" t="inlineStr">
        <is>
          <t>M7 인도</t>
        </is>
      </c>
      <c r="C29" s="23" t="inlineStr">
        <is>
          <t>조찬희</t>
        </is>
      </c>
      <c r="D29" s="23" t="n">
        <v>15</v>
      </c>
      <c r="E29" s="23" t="n">
        <v>15</v>
      </c>
      <c r="F29" s="23" t="inlineStr">
        <is>
          <t>대기</t>
        </is>
      </c>
      <c r="G29" s="24" t="inlineStr"/>
      <c r="H29" s="52">
        <f>IF(AND(1&gt;=$D29,1&lt;=$E29),IF($F29="완료","●",IF($F29="진행중","▶",IF($F29="제외",".",IF($F29="보류","◇","■")))),"")</f>
        <v/>
      </c>
      <c r="I29" s="52">
        <f>IF(AND(2&gt;=$D29,2&lt;=$E29),IF($F29="완료","●",IF($F29="진행중","▶",IF($F29="제외",".",IF($F29="보류","◇","■")))),"")</f>
        <v/>
      </c>
      <c r="J29" s="52">
        <f>IF(AND(3&gt;=$D29,3&lt;=$E29),IF($F29="완료","●",IF($F29="진행중","▶",IF($F29="제외",".",IF($F29="보류","◇","■")))),"")</f>
        <v/>
      </c>
      <c r="K29" s="52">
        <f>IF(AND(4&gt;=$D29,4&lt;=$E29),IF($F29="완료","●",IF($F29="진행중","▶",IF($F29="제외",".",IF($F29="보류","◇","■")))),"")</f>
        <v/>
      </c>
      <c r="L29" s="52">
        <f>IF(AND(5&gt;=$D29,5&lt;=$E29),IF($F29="완료","●",IF($F29="진행중","▶",IF($F29="제외",".",IF($F29="보류","◇","■")))),"")</f>
        <v/>
      </c>
      <c r="M29" s="52">
        <f>IF(AND(6&gt;=$D29,6&lt;=$E29),IF($F29="완료","●",IF($F29="진행중","▶",IF($F29="제외",".",IF($F29="보류","◇","■")))),"")</f>
        <v/>
      </c>
      <c r="N29" s="52">
        <f>IF(AND(7&gt;=$D29,7&lt;=$E29),IF($F29="완료","●",IF($F29="진행중","▶",IF($F29="제외",".",IF($F29="보류","◇","■")))),"")</f>
        <v/>
      </c>
      <c r="O29" s="52">
        <f>IF(AND(8&gt;=$D29,8&lt;=$E29),IF($F29="완료","●",IF($F29="진행중","▶",IF($F29="제외",".",IF($F29="보류","◇","■")))),"")</f>
        <v/>
      </c>
      <c r="P29" s="52">
        <f>IF(AND(9&gt;=$D29,9&lt;=$E29),IF($F29="완료","●",IF($F29="진행중","▶",IF($F29="제외",".",IF($F29="보류","◇","■")))),"")</f>
        <v/>
      </c>
      <c r="Q29" s="52">
        <f>IF(AND(10&gt;=$D29,10&lt;=$E29),IF($F29="완료","●",IF($F29="진행중","▶",IF($F29="제외",".",IF($F29="보류","◇","■")))),"")</f>
        <v/>
      </c>
      <c r="R29" s="52">
        <f>IF(AND(11&gt;=$D29,11&lt;=$E29),IF($F29="완료","●",IF($F29="진행중","▶",IF($F29="제외",".",IF($F29="보류","◇","■")))),"")</f>
        <v/>
      </c>
      <c r="S29" s="52">
        <f>IF(AND(12&gt;=$D29,12&lt;=$E29),IF($F29="완료","●",IF($F29="진행중","▶",IF($F29="제외",".",IF($F29="보류","◇","■")))),"")</f>
        <v/>
      </c>
      <c r="T29" s="52">
        <f>IF(AND(13&gt;=$D29,13&lt;=$E29),IF($F29="완료","●",IF($F29="진행중","▶",IF($F29="제외",".",IF($F29="보류","◇","■")))),"")</f>
        <v/>
      </c>
      <c r="U29" s="52">
        <f>IF(AND(14&gt;=$D29,14&lt;=$E29),IF($F29="완료","●",IF($F29="진행중","▶",IF($F29="제외",".",IF($F29="보류","◇","■")))),"")</f>
        <v/>
      </c>
      <c r="V29" s="52">
        <f>IF(AND(15&gt;=$D29,15&lt;=$E29),IF($F29="완료","●",IF($F29="진행중","▶",IF($F29="제외",".",IF($F29="보류","◇","■")))),"")</f>
        <v/>
      </c>
    </row>
    <row r="31">
      <c r="A31" s="54" t="inlineStr">
        <is>
          <t>범례  ● 완료   ▶ 진행중   ■ 계획(대기)   ◇ 보류   · 제외    |  노란 세로띠 = 대시보드의 현재 주차.  상태(F열)만 바꾸면 막대가 바뀝니다.</t>
        </is>
      </c>
    </row>
  </sheetData>
  <autoFilter ref="A1:G29"/>
  <mergeCells count="2">
    <mergeCell ref="A2:G2"/>
    <mergeCell ref="A31:V31"/>
  </mergeCells>
  <conditionalFormatting sqref="H3:V29">
    <cfRule type="expression" priority="1" dxfId="5">
      <formula>AND(H3="●",TRUE)</formula>
    </cfRule>
    <cfRule type="expression" priority="2" dxfId="6">
      <formula>AND(H3="▶",TRUE)</formula>
    </cfRule>
    <cfRule type="expression" priority="3" dxfId="7">
      <formula>AND(H3="■",TRUE)</formula>
    </cfRule>
    <cfRule type="expression" priority="4" dxfId="8">
      <formula>AND(H3="◇",TRUE)</formula>
    </cfRule>
    <cfRule type="expression" priority="5" dxfId="9">
      <formula>AND(H3=".",TRUE)</formula>
    </cfRule>
  </conditionalFormatting>
  <conditionalFormatting sqref="H1:H29">
    <cfRule type="expression" priority="6" dxfId="10">
      <formula>H$1=대시보드!$C$9</formula>
    </cfRule>
  </conditionalFormatting>
  <conditionalFormatting sqref="I1:I29">
    <cfRule type="expression" priority="7" dxfId="10">
      <formula>I$1=대시보드!$C$9</formula>
    </cfRule>
  </conditionalFormatting>
  <conditionalFormatting sqref="J1:J29">
    <cfRule type="expression" priority="8" dxfId="10">
      <formula>J$1=대시보드!$C$9</formula>
    </cfRule>
  </conditionalFormatting>
  <conditionalFormatting sqref="K1:K29">
    <cfRule type="expression" priority="9" dxfId="10">
      <formula>K$1=대시보드!$C$9</formula>
    </cfRule>
  </conditionalFormatting>
  <conditionalFormatting sqref="L1:L29">
    <cfRule type="expression" priority="10" dxfId="10">
      <formula>L$1=대시보드!$C$9</formula>
    </cfRule>
  </conditionalFormatting>
  <conditionalFormatting sqref="M1:M29">
    <cfRule type="expression" priority="11" dxfId="10">
      <formula>M$1=대시보드!$C$9</formula>
    </cfRule>
  </conditionalFormatting>
  <conditionalFormatting sqref="N1:N29">
    <cfRule type="expression" priority="12" dxfId="10">
      <formula>N$1=대시보드!$C$9</formula>
    </cfRule>
  </conditionalFormatting>
  <conditionalFormatting sqref="O1:O29">
    <cfRule type="expression" priority="13" dxfId="10">
      <formula>O$1=대시보드!$C$9</formula>
    </cfRule>
  </conditionalFormatting>
  <conditionalFormatting sqref="P1:P29">
    <cfRule type="expression" priority="14" dxfId="10">
      <formula>P$1=대시보드!$C$9</formula>
    </cfRule>
  </conditionalFormatting>
  <conditionalFormatting sqref="Q1:Q29">
    <cfRule type="expression" priority="15" dxfId="10">
      <formula>Q$1=대시보드!$C$9</formula>
    </cfRule>
  </conditionalFormatting>
  <conditionalFormatting sqref="R1:R29">
    <cfRule type="expression" priority="16" dxfId="10">
      <formula>R$1=대시보드!$C$9</formula>
    </cfRule>
  </conditionalFormatting>
  <conditionalFormatting sqref="S1:S29">
    <cfRule type="expression" priority="17" dxfId="10">
      <formula>S$1=대시보드!$C$9</formula>
    </cfRule>
  </conditionalFormatting>
  <conditionalFormatting sqref="T1:T29">
    <cfRule type="expression" priority="18" dxfId="10">
      <formula>T$1=대시보드!$C$9</formula>
    </cfRule>
  </conditionalFormatting>
  <conditionalFormatting sqref="U1:U29">
    <cfRule type="expression" priority="19" dxfId="10">
      <formula>U$1=대시보드!$C$9</formula>
    </cfRule>
  </conditionalFormatting>
  <conditionalFormatting sqref="V1:V29">
    <cfRule type="expression" priority="20" dxfId="10">
      <formula>V$1=대시보드!$C$9</formula>
    </cfRule>
  </conditionalFormatting>
  <conditionalFormatting sqref="F3:F29">
    <cfRule type="cellIs" priority="21" operator="equal" dxfId="0">
      <formula>"완료"</formula>
    </cfRule>
    <cfRule type="cellIs" priority="22" operator="equal" dxfId="1">
      <formula>"진행중"</formula>
    </cfRule>
    <cfRule type="cellIs" priority="23" operator="equal" dxfId="2">
      <formula>"대기"</formula>
    </cfRule>
    <cfRule type="cellIs" priority="24" operator="equal" dxfId="3">
      <formula>"보류"</formula>
    </cfRule>
    <cfRule type="cellIs" priority="25" operator="equal" dxfId="4">
      <formula>"제외"</formula>
    </cfRule>
  </conditionalFormatting>
  <dataValidations count="1">
    <dataValidation sqref="F3:F29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</dataValidations>
  <printOptions gridLines="0"/>
  <pageMargins left="0.4" right="0.4" top="0.6" bottom="0.5" header="0.25" footer="0.25"/>
  <pageSetup orientation="landscape" paperSize="9" fitToHeight="0" fitToWidth="1"/>
  <headerFooter>
    <oddHeader>&amp;L&amp;8주차별계획&amp;R&amp;8Signal Guard · 백로그WBS v1.0</oddHeader>
    <oddFooter>&amp;L&amp;8수업용 MVP · 작성 2026-09-12&amp;R&amp;8&amp;P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D6B4F"/>
    <outlinePr summaryBelow="1" summaryRight="1"/>
    <pageSetUpPr fitToPage="1"/>
  </sheetPr>
  <dimension ref="A1:N73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2" customWidth="1" min="4" max="4"/>
    <col width="8" customWidth="1" min="5" max="5"/>
    <col width="8" customWidth="1" min="6" max="6"/>
    <col width="8" customWidth="1" min="7" max="7"/>
    <col width="10" customWidth="1" min="8" max="8"/>
    <col width="14" customWidth="1" min="9" max="9"/>
    <col width="26" customWidth="1" min="10" max="10"/>
    <col width="10" customWidth="1" min="11" max="11"/>
    <col width="10" customWidth="1" min="12" max="12"/>
    <col width="12" customWidth="1" min="13" max="13"/>
    <col width="42" customWidth="1" min="14" max="14"/>
  </cols>
  <sheetData>
    <row r="1" ht="24" customHeight="1">
      <c r="A1" s="3" t="inlineStr">
        <is>
          <t>WBS ID</t>
        </is>
      </c>
      <c r="B1" s="3" t="inlineStr">
        <is>
          <t>단계</t>
        </is>
      </c>
      <c r="C1" s="3" t="inlineStr">
        <is>
          <t>분류</t>
        </is>
      </c>
      <c r="D1" s="3" t="inlineStr">
        <is>
          <t>패키지</t>
        </is>
      </c>
      <c r="E1" s="3" t="inlineStr">
        <is>
          <t>인일</t>
        </is>
      </c>
      <c r="F1" s="3" t="inlineStr">
        <is>
          <t>시작주</t>
        </is>
      </c>
      <c r="G1" s="3" t="inlineStr">
        <is>
          <t>종료주</t>
        </is>
      </c>
      <c r="H1" s="3" t="inlineStr">
        <is>
          <t>담당</t>
        </is>
      </c>
      <c r="I1" s="3" t="inlineStr">
        <is>
          <t>백로그</t>
        </is>
      </c>
      <c r="J1" s="3" t="inlineStr">
        <is>
          <t>산출물</t>
        </is>
      </c>
      <c r="K1" s="3" t="inlineStr">
        <is>
          <t>상태</t>
        </is>
      </c>
      <c r="L1" s="3" t="inlineStr">
        <is>
          <t>진행률</t>
        </is>
      </c>
      <c r="M1" s="3" t="inlineStr">
        <is>
          <t>실적종료</t>
        </is>
      </c>
      <c r="N1" s="3" t="inlineStr">
        <is>
          <t>비고</t>
        </is>
      </c>
    </row>
    <row r="2" ht="18" customHeight="1">
      <c r="A2" s="23" t="inlineStr">
        <is>
          <t>1.1</t>
        </is>
      </c>
      <c r="B2" s="23" t="inlineStr">
        <is>
          <t>프로젝트 관리</t>
        </is>
      </c>
      <c r="C2" s="23" t="inlineStr">
        <is>
          <t>관리</t>
        </is>
      </c>
      <c r="D2" s="24" t="inlineStr">
        <is>
          <t>주간 스프린트(목표·리뷰·보드)</t>
        </is>
      </c>
      <c r="E2" s="55" t="n">
        <v>1.5</v>
      </c>
      <c r="F2" s="23" t="n">
        <v>1</v>
      </c>
      <c r="G2" s="23" t="n">
        <v>15</v>
      </c>
      <c r="H2" s="23" t="inlineStr">
        <is>
          <t>조찬희</t>
        </is>
      </c>
      <c r="I2" s="23" t="inlineStr"/>
      <c r="J2" s="24" t="inlineStr">
        <is>
          <t>주간 기록</t>
        </is>
      </c>
      <c r="K2" s="56" t="inlineStr">
        <is>
          <t>진행중</t>
        </is>
      </c>
      <c r="L2" s="57" t="n">
        <v>0.1</v>
      </c>
      <c r="M2" s="25" t="n"/>
      <c r="N2" s="24" t="inlineStr">
        <is>
          <t>15주 분산. 주 1회 리뷰</t>
        </is>
      </c>
    </row>
    <row r="3" ht="18" customHeight="1">
      <c r="A3" s="23" t="inlineStr">
        <is>
          <t>1.2</t>
        </is>
      </c>
      <c r="B3" s="23" t="inlineStr">
        <is>
          <t>프로젝트 관리</t>
        </is>
      </c>
      <c r="C3" s="23" t="inlineStr">
        <is>
          <t>관리</t>
        </is>
      </c>
      <c r="D3" s="24" t="inlineStr">
        <is>
          <t>저장소·PR 규칙, 이슈 트래킹</t>
        </is>
      </c>
      <c r="E3" s="55" t="n">
        <v>0.5</v>
      </c>
      <c r="F3" s="23" t="n">
        <v>4</v>
      </c>
      <c r="G3" s="23" t="n">
        <v>6</v>
      </c>
      <c r="H3" s="23" t="inlineStr">
        <is>
          <t>공동</t>
        </is>
      </c>
      <c r="I3" s="23" t="inlineStr"/>
      <c r="J3" s="24" t="inlineStr">
        <is>
          <t>CONTRIBUTING 또는 README</t>
        </is>
      </c>
      <c r="K3" s="23" t="inlineStr">
        <is>
          <t>대기</t>
        </is>
      </c>
      <c r="L3" s="57" t="n">
        <v>0</v>
      </c>
      <c r="M3" s="25" t="n"/>
      <c r="N3" s="24" t="inlineStr"/>
    </row>
    <row r="4" ht="18" customHeight="1">
      <c r="A4" s="23" t="inlineStr">
        <is>
          <t>1.3</t>
        </is>
      </c>
      <c r="B4" s="23" t="inlineStr">
        <is>
          <t>프로젝트 관리</t>
        </is>
      </c>
      <c r="C4" s="23" t="inlineStr">
        <is>
          <t>관리</t>
        </is>
      </c>
      <c r="D4" s="24" t="inlineStr">
        <is>
          <t>위험·이슈(UTIC, 쿼터, API 장애)</t>
        </is>
      </c>
      <c r="E4" s="55" t="n">
        <v>0.5</v>
      </c>
      <c r="F4" s="23" t="n">
        <v>1</v>
      </c>
      <c r="G4" s="23" t="n">
        <v>15</v>
      </c>
      <c r="H4" s="23" t="inlineStr">
        <is>
          <t>조찬희</t>
        </is>
      </c>
      <c r="I4" s="23" t="inlineStr"/>
      <c r="J4" s="24" t="inlineStr">
        <is>
          <t>백로그WBS 7장 갱신</t>
        </is>
      </c>
      <c r="K4" s="56" t="inlineStr">
        <is>
          <t>진행중</t>
        </is>
      </c>
      <c r="L4" s="57" t="n">
        <v>0.1</v>
      </c>
      <c r="M4" s="25" t="n"/>
      <c r="N4" s="24" t="inlineStr">
        <is>
          <t>전 기간 분산</t>
        </is>
      </c>
    </row>
    <row r="5" ht="18" customHeight="1">
      <c r="A5" s="23" t="inlineStr">
        <is>
          <t>1.4</t>
        </is>
      </c>
      <c r="B5" s="23" t="inlineStr">
        <is>
          <t>프로젝트 관리</t>
        </is>
      </c>
      <c r="C5" s="23" t="inlineStr">
        <is>
          <t>관리</t>
        </is>
      </c>
      <c r="D5" s="24" t="inlineStr">
        <is>
          <t>단계 산출물 취합</t>
        </is>
      </c>
      <c r="E5" s="55" t="n">
        <v>1</v>
      </c>
      <c r="F5" s="23" t="n">
        <v>3</v>
      </c>
      <c r="G5" s="23" t="n">
        <v>15</v>
      </c>
      <c r="H5" s="23" t="inlineStr">
        <is>
          <t>조찬희</t>
        </is>
      </c>
      <c r="I5" s="23" t="inlineStr"/>
      <c r="J5" s="24" t="inlineStr">
        <is>
          <t>제출 묶음</t>
        </is>
      </c>
      <c r="K5" s="23" t="inlineStr">
        <is>
          <t>대기</t>
        </is>
      </c>
      <c r="L5" s="57" t="n">
        <v>0</v>
      </c>
      <c r="M5" s="25" t="n"/>
      <c r="N5" s="24" t="inlineStr">
        <is>
          <t>주 3, 5, 11, 13, 15</t>
        </is>
      </c>
    </row>
    <row r="6" ht="18" customHeight="1">
      <c r="A6" s="23" t="inlineStr">
        <is>
          <t>2.1</t>
        </is>
      </c>
      <c r="B6" s="23" t="inlineStr">
        <is>
          <t>분석</t>
        </is>
      </c>
      <c r="C6" s="23" t="inlineStr">
        <is>
          <t>분석</t>
        </is>
      </c>
      <c r="D6" s="24" t="inlineStr">
        <is>
          <t>RFP 39건 대응</t>
        </is>
      </c>
      <c r="E6" s="55" t="n">
        <v>2</v>
      </c>
      <c r="F6" s="23" t="n">
        <v>1</v>
      </c>
      <c r="G6" s="23" t="n">
        <v>2</v>
      </c>
      <c r="H6" s="23" t="inlineStr">
        <is>
          <t>공동</t>
        </is>
      </c>
      <c r="I6" s="23" t="inlineStr"/>
      <c r="J6" s="24" t="inlineStr">
        <is>
          <t>제안요청서요구사항대응표.md</t>
        </is>
      </c>
      <c r="K6" s="58" t="inlineStr">
        <is>
          <t>완료</t>
        </is>
      </c>
      <c r="L6" s="57" t="n">
        <v>1</v>
      </c>
      <c r="M6" s="25" t="n">
        <v>46277</v>
      </c>
      <c r="N6" s="24" t="inlineStr"/>
    </row>
    <row r="7" ht="18" customHeight="1">
      <c r="A7" s="23" t="inlineStr">
        <is>
          <t>2.2</t>
        </is>
      </c>
      <c r="B7" s="23" t="inlineStr">
        <is>
          <t>분석</t>
        </is>
      </c>
      <c r="C7" s="23" t="inlineStr">
        <is>
          <t>분석</t>
        </is>
      </c>
      <c r="D7" s="24" t="inlineStr">
        <is>
          <t>범위·목표·데이터 정의</t>
        </is>
      </c>
      <c r="E7" s="55" t="n">
        <v>2</v>
      </c>
      <c r="F7" s="23" t="n">
        <v>1</v>
      </c>
      <c r="G7" s="23" t="n">
        <v>2</v>
      </c>
      <c r="H7" s="23" t="inlineStr">
        <is>
          <t>공동</t>
        </is>
      </c>
      <c r="I7" s="23" t="inlineStr"/>
      <c r="J7" s="24" t="inlineStr">
        <is>
          <t>프로젝트정의서.md</t>
        </is>
      </c>
      <c r="K7" s="58" t="inlineStr">
        <is>
          <t>완료</t>
        </is>
      </c>
      <c r="L7" s="57" t="n">
        <v>1</v>
      </c>
      <c r="M7" s="25" t="n">
        <v>46277</v>
      </c>
      <c r="N7" s="24" t="inlineStr"/>
    </row>
    <row r="8" ht="18" customHeight="1">
      <c r="A8" s="23" t="inlineStr">
        <is>
          <t>2.3</t>
        </is>
      </c>
      <c r="B8" s="23" t="inlineStr">
        <is>
          <t>분석</t>
        </is>
      </c>
      <c r="C8" s="23" t="inlineStr">
        <is>
          <t>분석</t>
        </is>
      </c>
      <c r="D8" s="24" t="inlineStr">
        <is>
          <t>기능/비기능 요구 ID</t>
        </is>
      </c>
      <c r="E8" s="55" t="n">
        <v>2.5</v>
      </c>
      <c r="F8" s="23" t="n">
        <v>2</v>
      </c>
      <c r="G8" s="23" t="n">
        <v>3</v>
      </c>
      <c r="H8" s="23" t="inlineStr">
        <is>
          <t>공동</t>
        </is>
      </c>
      <c r="I8" s="23" t="inlineStr"/>
      <c r="J8" s="24" t="inlineStr">
        <is>
          <t>요구사항정의서.md</t>
        </is>
      </c>
      <c r="K8" s="58" t="inlineStr">
        <is>
          <t>완료</t>
        </is>
      </c>
      <c r="L8" s="57" t="n">
        <v>1</v>
      </c>
      <c r="M8" s="25" t="n">
        <v>46277</v>
      </c>
      <c r="N8" s="24" t="inlineStr"/>
    </row>
    <row r="9" ht="18" customHeight="1">
      <c r="A9" s="23" t="inlineStr">
        <is>
          <t>2.4</t>
        </is>
      </c>
      <c r="B9" s="23" t="inlineStr">
        <is>
          <t>분석</t>
        </is>
      </c>
      <c r="C9" s="23" t="inlineStr">
        <is>
          <t>분석</t>
        </is>
      </c>
      <c r="D9" s="24" t="inlineStr">
        <is>
          <t>유스케이스·사용자 스토리</t>
        </is>
      </c>
      <c r="E9" s="55" t="n">
        <v>2</v>
      </c>
      <c r="F9" s="23" t="n">
        <v>3</v>
      </c>
      <c r="G9" s="23" t="n">
        <v>3</v>
      </c>
      <c r="H9" s="23" t="inlineStr">
        <is>
          <t>조찬희</t>
        </is>
      </c>
      <c r="I9" s="23" t="inlineStr"/>
      <c r="J9" s="24" t="inlineStr">
        <is>
          <t>유스케이스사용자스토리.md</t>
        </is>
      </c>
      <c r="K9" s="58" t="inlineStr">
        <is>
          <t>완료</t>
        </is>
      </c>
      <c r="L9" s="57" t="n">
        <v>1</v>
      </c>
      <c r="M9" s="25" t="n">
        <v>46277</v>
      </c>
      <c r="N9" s="24" t="inlineStr"/>
    </row>
    <row r="10" ht="18" customHeight="1">
      <c r="A10" s="23" t="inlineStr">
        <is>
          <t>2.5</t>
        </is>
      </c>
      <c r="B10" s="23" t="inlineStr">
        <is>
          <t>분석</t>
        </is>
      </c>
      <c r="C10" s="23" t="inlineStr">
        <is>
          <t>분석</t>
        </is>
      </c>
      <c r="D10" s="24" t="inlineStr">
        <is>
          <t>제품 백로그·WBS</t>
        </is>
      </c>
      <c r="E10" s="55" t="n">
        <v>1.5</v>
      </c>
      <c r="F10" s="23" t="n">
        <v>3</v>
      </c>
      <c r="G10" s="23" t="n">
        <v>3</v>
      </c>
      <c r="H10" s="23" t="inlineStr">
        <is>
          <t>조찬희</t>
        </is>
      </c>
      <c r="I10" s="23" t="inlineStr"/>
      <c r="J10" s="24" t="inlineStr">
        <is>
          <t>백로그WBS.md</t>
        </is>
      </c>
      <c r="K10" s="58" t="inlineStr">
        <is>
          <t>완료</t>
        </is>
      </c>
      <c r="L10" s="57" t="n">
        <v>1</v>
      </c>
      <c r="M10" s="25" t="n">
        <v>46277</v>
      </c>
      <c r="N10" s="24" t="inlineStr">
        <is>
          <t>본 진행표의 근거</t>
        </is>
      </c>
    </row>
    <row r="11" ht="18" customHeight="1">
      <c r="A11" s="23" t="inlineStr">
        <is>
          <t>3.1</t>
        </is>
      </c>
      <c r="B11" s="23" t="inlineStr">
        <is>
          <t>설계</t>
        </is>
      </c>
      <c r="C11" s="23" t="inlineStr">
        <is>
          <t>설계</t>
        </is>
      </c>
      <c r="D11" s="24" t="inlineStr">
        <is>
          <t>스택 확정, 논리 구성도</t>
        </is>
      </c>
      <c r="E11" s="55" t="n">
        <v>1</v>
      </c>
      <c r="F11" s="23" t="n">
        <v>4</v>
      </c>
      <c r="G11" s="23" t="n">
        <v>4</v>
      </c>
      <c r="H11" s="23" t="inlineStr">
        <is>
          <t>공동</t>
        </is>
      </c>
      <c r="I11" s="23" t="inlineStr"/>
      <c r="J11" s="24" t="inlineStr">
        <is>
          <t>아키텍처 1장</t>
        </is>
      </c>
      <c r="K11" s="23" t="inlineStr">
        <is>
          <t>대기</t>
        </is>
      </c>
      <c r="L11" s="57" t="n">
        <v>0</v>
      </c>
      <c r="M11" s="25" t="n"/>
      <c r="N11" s="24" t="inlineStr">
        <is>
          <t>SFR-001, 미결 1. 주 5 말 게이트</t>
        </is>
      </c>
    </row>
    <row r="12" ht="18" customHeight="1">
      <c r="A12" s="23" t="inlineStr">
        <is>
          <t>3.2</t>
        </is>
      </c>
      <c r="B12" s="23" t="inlineStr">
        <is>
          <t>설계</t>
        </is>
      </c>
      <c r="C12" s="23" t="inlineStr">
        <is>
          <t>설계</t>
        </is>
      </c>
      <c r="D12" s="24" t="inlineStr">
        <is>
          <t>용량 산정 (표본×주기×보관)</t>
        </is>
      </c>
      <c r="E12" s="55" t="n">
        <v>0.5</v>
      </c>
      <c r="F12" s="23" t="n">
        <v>4</v>
      </c>
      <c r="G12" s="23" t="n">
        <v>4</v>
      </c>
      <c r="H12" s="23" t="inlineStr">
        <is>
          <t>기경현</t>
        </is>
      </c>
      <c r="I12" s="23" t="inlineStr"/>
      <c r="J12" s="24" t="inlineStr">
        <is>
          <t>구성도 부록</t>
        </is>
      </c>
      <c r="K12" s="23" t="inlineStr">
        <is>
          <t>대기</t>
        </is>
      </c>
      <c r="L12" s="57" t="n">
        <v>0</v>
      </c>
      <c r="M12" s="25" t="n"/>
      <c r="N12" s="24" t="inlineStr">
        <is>
          <t>FR-SYS-002, NFR-PER-003</t>
        </is>
      </c>
    </row>
    <row r="13" ht="18" customHeight="1">
      <c r="A13" s="23" t="inlineStr">
        <is>
          <t>3.3</t>
        </is>
      </c>
      <c r="B13" s="23" t="inlineStr">
        <is>
          <t>설계</t>
        </is>
      </c>
      <c r="C13" s="23" t="inlineStr">
        <is>
          <t>설계</t>
        </is>
      </c>
      <c r="D13" s="24" t="inlineStr">
        <is>
          <t>화면 IA·와이어 (6개 필수 화면)</t>
        </is>
      </c>
      <c r="E13" s="55" t="n">
        <v>2</v>
      </c>
      <c r="F13" s="23" t="n">
        <v>4</v>
      </c>
      <c r="G13" s="23" t="n">
        <v>4</v>
      </c>
      <c r="H13" s="23" t="inlineStr">
        <is>
          <t>조찬희</t>
        </is>
      </c>
      <c r="I13" s="23" t="inlineStr"/>
      <c r="J13" s="24" t="inlineStr">
        <is>
          <t>화면설계</t>
        </is>
      </c>
      <c r="K13" s="23" t="inlineStr">
        <is>
          <t>대기</t>
        </is>
      </c>
      <c r="L13" s="57" t="n">
        <v>0</v>
      </c>
      <c r="M13" s="25" t="n"/>
      <c r="N13" s="24" t="inlineStr">
        <is>
          <t>FR-MON, 요구사항 12장</t>
        </is>
      </c>
    </row>
    <row r="14" ht="18" customHeight="1">
      <c r="A14" s="23" t="inlineStr">
        <is>
          <t>3.4</t>
        </is>
      </c>
      <c r="B14" s="23" t="inlineStr">
        <is>
          <t>설계</t>
        </is>
      </c>
      <c r="C14" s="23" t="inlineStr">
        <is>
          <t>설계</t>
        </is>
      </c>
      <c r="D14" s="24" t="inlineStr">
        <is>
          <t>개념·논리 ERD, 원본/제공 분리</t>
        </is>
      </c>
      <c r="E14" s="55" t="n">
        <v>2</v>
      </c>
      <c r="F14" s="23" t="n">
        <v>4</v>
      </c>
      <c r="G14" s="23" t="n">
        <v>5</v>
      </c>
      <c r="H14" s="23" t="inlineStr">
        <is>
          <t>기경현</t>
        </is>
      </c>
      <c r="I14" s="23" t="inlineStr"/>
      <c r="J14" s="24" t="inlineStr">
        <is>
          <t>ERD</t>
        </is>
      </c>
      <c r="K14" s="23" t="inlineStr">
        <is>
          <t>대기</t>
        </is>
      </c>
      <c r="L14" s="57" t="n">
        <v>0</v>
      </c>
      <c r="M14" s="25" t="n"/>
      <c r="N14" s="24" t="inlineStr">
        <is>
          <t>FR-STO-001, FR-CTL-001</t>
        </is>
      </c>
    </row>
    <row r="15" ht="18" customHeight="1">
      <c r="A15" s="23" t="inlineStr">
        <is>
          <t>3.5</t>
        </is>
      </c>
      <c r="B15" s="23" t="inlineStr">
        <is>
          <t>설계</t>
        </is>
      </c>
      <c r="C15" s="23" t="inlineStr">
        <is>
          <t>설계</t>
        </is>
      </c>
      <c r="D15" s="24" t="inlineStr">
        <is>
          <t>REST API 명세서 (권한 포함)</t>
        </is>
      </c>
      <c r="E15" s="55" t="n">
        <v>1.5</v>
      </c>
      <c r="F15" s="23" t="n">
        <v>5</v>
      </c>
      <c r="G15" s="23" t="n">
        <v>5</v>
      </c>
      <c r="H15" s="23" t="inlineStr">
        <is>
          <t>기경현</t>
        </is>
      </c>
      <c r="I15" s="23" t="inlineStr"/>
      <c r="J15" s="24" t="inlineStr">
        <is>
          <t>API 명세</t>
        </is>
      </c>
      <c r="K15" s="23" t="inlineStr">
        <is>
          <t>대기</t>
        </is>
      </c>
      <c r="L15" s="57" t="n">
        <v>0</v>
      </c>
      <c r="M15" s="25" t="n"/>
      <c r="N15" s="24" t="inlineStr">
        <is>
          <t>IF-INT-001</t>
        </is>
      </c>
    </row>
    <row r="16" ht="18" customHeight="1">
      <c r="A16" s="23" t="inlineStr">
        <is>
          <t>3.6</t>
        </is>
      </c>
      <c r="B16" s="23" t="inlineStr">
        <is>
          <t>설계</t>
        </is>
      </c>
      <c r="C16" s="23" t="inlineStr">
        <is>
          <t>설계</t>
        </is>
      </c>
      <c r="D16" s="24" t="inlineStr">
        <is>
          <t>검증 규칙 명세서 (R01–R12)</t>
        </is>
      </c>
      <c r="E16" s="55" t="n">
        <v>1.5</v>
      </c>
      <c r="F16" s="23" t="n">
        <v>5</v>
      </c>
      <c r="G16" s="23" t="n">
        <v>5</v>
      </c>
      <c r="H16" s="23" t="inlineStr">
        <is>
          <t>기경현</t>
        </is>
      </c>
      <c r="I16" s="23" t="inlineStr"/>
      <c r="J16" s="24" t="inlineStr">
        <is>
          <t>규칙 명세</t>
        </is>
      </c>
      <c r="K16" s="23" t="inlineStr">
        <is>
          <t>대기</t>
        </is>
      </c>
      <c r="L16" s="57" t="n">
        <v>0</v>
      </c>
      <c r="M16" s="25" t="n"/>
      <c r="N16" s="24" t="inlineStr">
        <is>
          <t>FR-VAL, 미결 6</t>
        </is>
      </c>
    </row>
    <row r="17" ht="18" customHeight="1">
      <c r="A17" s="23" t="inlineStr">
        <is>
          <t>3.7</t>
        </is>
      </c>
      <c r="B17" s="23" t="inlineStr">
        <is>
          <t>설계</t>
        </is>
      </c>
      <c r="C17" s="23" t="inlineStr">
        <is>
          <t>설계</t>
        </is>
      </c>
      <c r="D17" s="24" t="inlineStr">
        <is>
          <t>클릭 가능한 프로토타입 (핵심 3화면)</t>
        </is>
      </c>
      <c r="E17" s="55" t="n">
        <v>1.5</v>
      </c>
      <c r="F17" s="23" t="n">
        <v>5</v>
      </c>
      <c r="G17" s="23" t="n">
        <v>5</v>
      </c>
      <c r="H17" s="23" t="inlineStr">
        <is>
          <t>조찬희</t>
        </is>
      </c>
      <c r="I17" s="23" t="inlineStr"/>
      <c r="J17" s="24" t="inlineStr">
        <is>
          <t>프로토타입</t>
        </is>
      </c>
      <c r="K17" s="23" t="inlineStr">
        <is>
          <t>대기</t>
        </is>
      </c>
      <c r="L17" s="57" t="n">
        <v>0</v>
      </c>
      <c r="M17" s="25" t="n"/>
      <c r="N17" s="24" t="inlineStr">
        <is>
          <t>용량 초과 시 정적 와이어로 축소</t>
        </is>
      </c>
    </row>
    <row r="18" ht="18" customHeight="1">
      <c r="A18" s="23" t="inlineStr">
        <is>
          <t>3.8</t>
        </is>
      </c>
      <c r="B18" s="23" t="inlineStr">
        <is>
          <t>설계</t>
        </is>
      </c>
      <c r="C18" s="23" t="inlineStr">
        <is>
          <t>설계</t>
        </is>
      </c>
      <c r="D18" s="24" t="inlineStr">
        <is>
          <t>설계 리뷰·미결 1~7 확정</t>
        </is>
      </c>
      <c r="E18" s="55" t="n">
        <v>1</v>
      </c>
      <c r="F18" s="23" t="n">
        <v>5</v>
      </c>
      <c r="G18" s="23" t="n">
        <v>5</v>
      </c>
      <c r="H18" s="23" t="inlineStr">
        <is>
          <t>공동</t>
        </is>
      </c>
      <c r="I18" s="23" t="inlineStr"/>
      <c r="J18" s="24" t="inlineStr">
        <is>
          <t>리뷰 기록</t>
        </is>
      </c>
      <c r="K18" s="23" t="inlineStr">
        <is>
          <t>대기</t>
        </is>
      </c>
      <c r="L18" s="57" t="n">
        <v>0</v>
      </c>
      <c r="M18" s="25" t="n"/>
      <c r="N18" s="24" t="inlineStr">
        <is>
          <t>요구사항 13장. S1 시작 조건</t>
        </is>
      </c>
    </row>
    <row r="19" ht="18" customHeight="1">
      <c r="A19" s="23" t="inlineStr">
        <is>
          <t>4.1.1</t>
        </is>
      </c>
      <c r="B19" s="23" t="inlineStr">
        <is>
          <t>구현</t>
        </is>
      </c>
      <c r="C19" s="23" t="inlineStr">
        <is>
          <t>4.1 기반 환경</t>
        </is>
      </c>
      <c r="D19" s="24" t="inlineStr">
        <is>
          <t>저장소·실행 환경</t>
        </is>
      </c>
      <c r="E19" s="55" t="n">
        <v>1</v>
      </c>
      <c r="F19" s="23" t="n">
        <v>6</v>
      </c>
      <c r="G19" s="23" t="n">
        <v>6</v>
      </c>
      <c r="H19" s="23" t="inlineStr">
        <is>
          <t>기경현</t>
        </is>
      </c>
      <c r="I19" s="23" t="inlineStr">
        <is>
          <t>EN-ENV-01</t>
        </is>
      </c>
      <c r="J19" s="24" t="inlineStr">
        <is>
          <t>README 기동 절차</t>
        </is>
      </c>
      <c r="K19" s="23" t="inlineStr">
        <is>
          <t>대기</t>
        </is>
      </c>
      <c r="L19" s="57" t="n">
        <v>0</v>
      </c>
      <c r="M19" s="25" t="n"/>
      <c r="N19" s="24" t="inlineStr">
        <is>
          <t>S1</t>
        </is>
      </c>
    </row>
    <row r="20" ht="18" customHeight="1">
      <c r="A20" s="23" t="inlineStr">
        <is>
          <t>4.1.2</t>
        </is>
      </c>
      <c r="B20" s="23" t="inlineStr">
        <is>
          <t>구현</t>
        </is>
      </c>
      <c r="C20" s="23" t="inlineStr">
        <is>
          <t>4.1 기반 환경</t>
        </is>
      </c>
      <c r="D20" s="24" t="inlineStr">
        <is>
          <t>스키마·마이그레이션</t>
        </is>
      </c>
      <c r="E20" s="55" t="n">
        <v>2</v>
      </c>
      <c r="F20" s="23" t="n">
        <v>6</v>
      </c>
      <c r="G20" s="23" t="n">
        <v>6</v>
      </c>
      <c r="H20" s="23" t="inlineStr">
        <is>
          <t>기경현</t>
        </is>
      </c>
      <c r="I20" s="23" t="inlineStr">
        <is>
          <t>EN-DB-01</t>
        </is>
      </c>
      <c r="J20" s="24" t="inlineStr">
        <is>
          <t>원본/제공/계획/이슈 테이블</t>
        </is>
      </c>
      <c r="K20" s="23" t="inlineStr">
        <is>
          <t>대기</t>
        </is>
      </c>
      <c r="L20" s="57" t="n">
        <v>0</v>
      </c>
      <c r="M20" s="25" t="n"/>
      <c r="N20" s="24" t="inlineStr">
        <is>
          <t>S1 · 설계 ERD 선행</t>
        </is>
      </c>
    </row>
    <row r="21" ht="18" customHeight="1">
      <c r="A21" s="23" t="inlineStr">
        <is>
          <t>4.1.3</t>
        </is>
      </c>
      <c r="B21" s="23" t="inlineStr">
        <is>
          <t>구현</t>
        </is>
      </c>
      <c r="C21" s="23" t="inlineStr">
        <is>
          <t>4.1 기반 환경</t>
        </is>
      </c>
      <c r="D21" s="24" t="inlineStr">
        <is>
          <t>API 골격·인증 미들웨어</t>
        </is>
      </c>
      <c r="E21" s="55" t="n">
        <v>1</v>
      </c>
      <c r="F21" s="23" t="n">
        <v>6</v>
      </c>
      <c r="G21" s="23" t="n">
        <v>6</v>
      </c>
      <c r="H21" s="23" t="inlineStr">
        <is>
          <t>기경현</t>
        </is>
      </c>
      <c r="I21" s="23" t="inlineStr">
        <is>
          <t>EN-API-01</t>
        </is>
      </c>
      <c r="J21" s="24" t="inlineStr">
        <is>
          <t>헬스체크, 401/403</t>
        </is>
      </c>
      <c r="K21" s="23" t="inlineStr">
        <is>
          <t>대기</t>
        </is>
      </c>
      <c r="L21" s="57" t="n">
        <v>0</v>
      </c>
      <c r="M21" s="25" t="n"/>
      <c r="N21" s="24" t="inlineStr">
        <is>
          <t>S1</t>
        </is>
      </c>
    </row>
    <row r="22" ht="18" customHeight="1">
      <c r="A22" s="23" t="inlineStr">
        <is>
          <t>4.1.4</t>
        </is>
      </c>
      <c r="B22" s="23" t="inlineStr">
        <is>
          <t>구현</t>
        </is>
      </c>
      <c r="C22" s="23" t="inlineStr">
        <is>
          <t>4.1 기반 환경</t>
        </is>
      </c>
      <c r="D22" s="24" t="inlineStr">
        <is>
          <t>시드 계정·교차로·계획</t>
        </is>
      </c>
      <c r="E22" s="55" t="n">
        <v>1</v>
      </c>
      <c r="F22" s="23" t="n">
        <v>6</v>
      </c>
      <c r="G22" s="23" t="n">
        <v>6</v>
      </c>
      <c r="H22" s="23" t="inlineStr">
        <is>
          <t>기경현</t>
        </is>
      </c>
      <c r="I22" s="23" t="inlineStr">
        <is>
          <t>EN-SEED-01</t>
        </is>
      </c>
      <c r="J22" s="24" t="inlineStr">
        <is>
          <t>시연용 데이터</t>
        </is>
      </c>
      <c r="K22" s="23" t="inlineStr">
        <is>
          <t>대기</t>
        </is>
      </c>
      <c r="L22" s="57" t="n">
        <v>0</v>
      </c>
      <c r="M22" s="25" t="n"/>
      <c r="N22" s="24" t="inlineStr">
        <is>
          <t>S1</t>
        </is>
      </c>
    </row>
    <row r="23" ht="18" customHeight="1">
      <c r="A23" s="23" t="inlineStr">
        <is>
          <t>4.1.5</t>
        </is>
      </c>
      <c r="B23" s="23" t="inlineStr">
        <is>
          <t>구현</t>
        </is>
      </c>
      <c r="C23" s="23" t="inlineStr">
        <is>
          <t>4.1 기반 환경</t>
        </is>
      </c>
      <c r="D23" s="24" t="inlineStr">
        <is>
          <t>프론트 셸·라우팅·메뉴</t>
        </is>
      </c>
      <c r="E23" s="55" t="n">
        <v>1.5</v>
      </c>
      <c r="F23" s="23" t="n">
        <v>6</v>
      </c>
      <c r="G23" s="23" t="n">
        <v>6</v>
      </c>
      <c r="H23" s="23" t="inlineStr">
        <is>
          <t>조찬희</t>
        </is>
      </c>
      <c r="I23" s="23" t="inlineStr">
        <is>
          <t>EN-FE-01</t>
        </is>
      </c>
      <c r="J23" s="24" t="inlineStr">
        <is>
          <t>로그인 후 빈 대시보드 골격</t>
        </is>
      </c>
      <c r="K23" s="23" t="inlineStr">
        <is>
          <t>대기</t>
        </is>
      </c>
      <c r="L23" s="57" t="n">
        <v>0</v>
      </c>
      <c r="M23" s="25" t="n"/>
      <c r="N23" s="24" t="inlineStr">
        <is>
          <t>S1</t>
        </is>
      </c>
    </row>
    <row r="24" ht="18" customHeight="1">
      <c r="A24" s="23" t="inlineStr">
        <is>
          <t>4.1.6</t>
        </is>
      </c>
      <c r="B24" s="23" t="inlineStr">
        <is>
          <t>구현</t>
        </is>
      </c>
      <c r="C24" s="23" t="inlineStr">
        <is>
          <t>4.1 기반 환경</t>
        </is>
      </c>
      <c r="D24" s="24" t="inlineStr">
        <is>
          <t>로그인·RBAC 연동</t>
        </is>
      </c>
      <c r="E24" s="55" t="n">
        <v>1.5</v>
      </c>
      <c r="F24" s="23" t="n">
        <v>6</v>
      </c>
      <c r="G24" s="23" t="n">
        <v>6</v>
      </c>
      <c r="H24" s="23" t="inlineStr">
        <is>
          <t>공동</t>
        </is>
      </c>
      <c r="I24" s="23" t="inlineStr">
        <is>
          <t>US-ADM-01</t>
        </is>
      </c>
      <c r="J24" s="24" t="inlineStr">
        <is>
          <t>역할별 메뉴</t>
        </is>
      </c>
      <c r="K24" s="23" t="inlineStr">
        <is>
          <t>대기</t>
        </is>
      </c>
      <c r="L24" s="57" t="n">
        <v>0</v>
      </c>
      <c r="M24" s="25" t="n"/>
      <c r="N24" s="24" t="inlineStr">
        <is>
          <t>S1 Must 3SP</t>
        </is>
      </c>
    </row>
    <row r="25" ht="18" customHeight="1">
      <c r="A25" s="23" t="inlineStr">
        <is>
          <t>4.2.1</t>
        </is>
      </c>
      <c r="B25" s="23" t="inlineStr">
        <is>
          <t>구현</t>
        </is>
      </c>
      <c r="C25" s="23" t="inlineStr">
        <is>
          <t>4.2 수집</t>
        </is>
      </c>
      <c r="D25" s="24" t="inlineStr">
        <is>
          <t>맵 수집·인천 마스터</t>
        </is>
      </c>
      <c r="E25" s="55" t="n">
        <v>1</v>
      </c>
      <c r="F25" s="23" t="n">
        <v>7</v>
      </c>
      <c r="G25" s="23" t="n">
        <v>7</v>
      </c>
      <c r="H25" s="23" t="inlineStr">
        <is>
          <t>기경현</t>
        </is>
      </c>
      <c r="I25" s="23" t="inlineStr">
        <is>
          <t>US-COL-01</t>
        </is>
      </c>
      <c r="J25" s="24" t="inlineStr">
        <is>
          <t>교차로 마스터</t>
        </is>
      </c>
      <c r="K25" s="23" t="inlineStr">
        <is>
          <t>대기</t>
        </is>
      </c>
      <c r="L25" s="57" t="n">
        <v>0</v>
      </c>
      <c r="M25" s="25" t="n"/>
      <c r="N25" s="24" t="inlineStr">
        <is>
          <t>S2</t>
        </is>
      </c>
    </row>
    <row r="26" ht="18" customHeight="1">
      <c r="A26" s="23" t="inlineStr">
        <is>
          <t>4.2.2</t>
        </is>
      </c>
      <c r="B26" s="23" t="inlineStr">
        <is>
          <t>구현</t>
        </is>
      </c>
      <c r="C26" s="23" t="inlineStr">
        <is>
          <t>4.2 수집</t>
        </is>
      </c>
      <c r="D26" s="24" t="inlineStr">
        <is>
          <t>상태 배치 수집·수신 시각</t>
        </is>
      </c>
      <c r="E26" s="55" t="n">
        <v>2</v>
      </c>
      <c r="F26" s="23" t="n">
        <v>7</v>
      </c>
      <c r="G26" s="23" t="n">
        <v>7</v>
      </c>
      <c r="H26" s="23" t="inlineStr">
        <is>
          <t>기경현</t>
        </is>
      </c>
      <c r="I26" s="23" t="inlineStr">
        <is>
          <t>US-COL-02</t>
        </is>
      </c>
      <c r="J26" s="24" t="inlineStr">
        <is>
          <t>원본 수신</t>
        </is>
      </c>
      <c r="K26" s="23" t="inlineStr">
        <is>
          <t>대기</t>
        </is>
      </c>
      <c r="L26" s="57" t="n">
        <v>0</v>
      </c>
      <c r="M26" s="25" t="n"/>
      <c r="N26" s="24" t="inlineStr">
        <is>
          <t>S2</t>
        </is>
      </c>
    </row>
    <row r="27" ht="18" customHeight="1">
      <c r="A27" s="23" t="inlineStr">
        <is>
          <t>4.2.3</t>
        </is>
      </c>
      <c r="B27" s="23" t="inlineStr">
        <is>
          <t>구현</t>
        </is>
      </c>
      <c r="C27" s="23" t="inlineStr">
        <is>
          <t>4.2 수집</t>
        </is>
      </c>
      <c r="D27" s="24" t="inlineStr">
        <is>
          <t>센티초→초, 점등 코드 정규화</t>
        </is>
      </c>
      <c r="E27" s="55" t="n">
        <v>0.5</v>
      </c>
      <c r="F27" s="23" t="n">
        <v>7</v>
      </c>
      <c r="G27" s="23" t="n">
        <v>7</v>
      </c>
      <c r="H27" s="23" t="inlineStr">
        <is>
          <t>기경현</t>
        </is>
      </c>
      <c r="I27" s="23" t="inlineStr">
        <is>
          <t>US-COL-04</t>
        </is>
      </c>
      <c r="J27" s="24" t="inlineStr">
        <is>
          <t>정규화 상태</t>
        </is>
      </c>
      <c r="K27" s="23" t="inlineStr">
        <is>
          <t>대기</t>
        </is>
      </c>
      <c r="L27" s="57" t="n">
        <v>0</v>
      </c>
      <c r="M27" s="25" t="n"/>
      <c r="N27" s="24" t="inlineStr">
        <is>
          <t>S2</t>
        </is>
      </c>
    </row>
    <row r="28" ht="18" customHeight="1">
      <c r="A28" s="23" t="inlineStr">
        <is>
          <t>4.2.4</t>
        </is>
      </c>
      <c r="B28" s="23" t="inlineStr">
        <is>
          <t>구현</t>
        </is>
      </c>
      <c r="C28" s="23" t="inlineStr">
        <is>
          <t>4.2 수집</t>
        </is>
      </c>
      <c r="D28" s="24" t="inlineStr">
        <is>
          <t>쿼터 가드·사용량 API</t>
        </is>
      </c>
      <c r="E28" s="55" t="n">
        <v>1</v>
      </c>
      <c r="F28" s="23" t="n">
        <v>7</v>
      </c>
      <c r="G28" s="23" t="n">
        <v>7</v>
      </c>
      <c r="H28" s="23" t="inlineStr">
        <is>
          <t>기경현</t>
        </is>
      </c>
      <c r="I28" s="23" t="inlineStr">
        <is>
          <t>US-COL-05</t>
        </is>
      </c>
      <c r="J28" s="24" t="inlineStr">
        <is>
          <t>일 5,000 한도</t>
        </is>
      </c>
      <c r="K28" s="23" t="inlineStr">
        <is>
          <t>대기</t>
        </is>
      </c>
      <c r="L28" s="57" t="n">
        <v>0</v>
      </c>
      <c r="M28" s="25" t="n"/>
      <c r="N28" s="24" t="inlineStr">
        <is>
          <t>S2</t>
        </is>
      </c>
    </row>
    <row r="29" ht="18" customHeight="1">
      <c r="A29" s="23" t="inlineStr">
        <is>
          <t>4.2.5</t>
        </is>
      </c>
      <c r="B29" s="23" t="inlineStr">
        <is>
          <t>구현</t>
        </is>
      </c>
      <c r="C29" s="23" t="inlineStr">
        <is>
          <t>4.2 수집</t>
        </is>
      </c>
      <c r="D29" s="24" t="inlineStr">
        <is>
          <t>재시도·부분 실패 우선</t>
        </is>
      </c>
      <c r="E29" s="55" t="n">
        <v>1</v>
      </c>
      <c r="F29" s="23" t="n">
        <v>8</v>
      </c>
      <c r="G29" s="23" t="n">
        <v>8</v>
      </c>
      <c r="H29" s="23" t="inlineStr">
        <is>
          <t>기경현</t>
        </is>
      </c>
      <c r="I29" s="23" t="inlineStr">
        <is>
          <t>US-COL-03</t>
        </is>
      </c>
      <c r="J29" s="24" t="inlineStr">
        <is>
          <t>실패 큐</t>
        </is>
      </c>
      <c r="K29" s="23" t="inlineStr">
        <is>
          <t>대기</t>
        </is>
      </c>
      <c r="L29" s="57" t="n">
        <v>0</v>
      </c>
      <c r="M29" s="25" t="n"/>
      <c r="N29" s="24" t="inlineStr">
        <is>
          <t>S3</t>
        </is>
      </c>
    </row>
    <row r="30" ht="18" customHeight="1">
      <c r="A30" s="23" t="inlineStr">
        <is>
          <t>4.2.6</t>
        </is>
      </c>
      <c r="B30" s="23" t="inlineStr">
        <is>
          <t>구현</t>
        </is>
      </c>
      <c r="C30" s="23" t="inlineStr">
        <is>
          <t>4.2 수집</t>
        </is>
      </c>
      <c r="D30" s="24" t="inlineStr">
        <is>
          <t>수집 대상·주기 설정 UI</t>
        </is>
      </c>
      <c r="E30" s="55" t="n">
        <v>1</v>
      </c>
      <c r="F30" s="23" t="n">
        <v>7</v>
      </c>
      <c r="G30" s="23" t="n">
        <v>7</v>
      </c>
      <c r="H30" s="23" t="inlineStr">
        <is>
          <t>조찬희</t>
        </is>
      </c>
      <c r="I30" s="23" t="inlineStr">
        <is>
          <t>US-ADM-03</t>
        </is>
      </c>
      <c r="J30" s="24" t="inlineStr">
        <is>
          <t>최소 목록 추가·제외</t>
        </is>
      </c>
      <c r="K30" s="23" t="inlineStr">
        <is>
          <t>대기</t>
        </is>
      </c>
      <c r="L30" s="57" t="n">
        <v>0</v>
      </c>
      <c r="M30" s="25" t="n"/>
      <c r="N30" s="24" t="inlineStr">
        <is>
          <t>S2. 화면은 S6에서 다듬을 수 있음</t>
        </is>
      </c>
    </row>
    <row r="31" ht="18" customHeight="1">
      <c r="A31" s="23" t="inlineStr">
        <is>
          <t>4.3.1</t>
        </is>
      </c>
      <c r="B31" s="23" t="inlineStr">
        <is>
          <t>구현</t>
        </is>
      </c>
      <c r="C31" s="23" t="inlineStr">
        <is>
          <t>4.3 계획</t>
        </is>
      </c>
      <c r="D31" s="24" t="inlineStr">
        <is>
          <t>정규화 계획 스키마·적재</t>
        </is>
      </c>
      <c r="E31" s="55" t="n">
        <v>1</v>
      </c>
      <c r="F31" s="23" t="n">
        <v>8</v>
      </c>
      <c r="G31" s="23" t="n">
        <v>8</v>
      </c>
      <c r="H31" s="23" t="inlineStr">
        <is>
          <t>기경현</t>
        </is>
      </c>
      <c r="I31" s="23" t="inlineStr">
        <is>
          <t>US-PLN-01</t>
        </is>
      </c>
      <c r="J31" s="24" t="inlineStr">
        <is>
          <t>signal_plan</t>
        </is>
      </c>
      <c r="K31" s="23" t="inlineStr">
        <is>
          <t>대기</t>
        </is>
      </c>
      <c r="L31" s="57" t="n">
        <v>0</v>
      </c>
      <c r="M31" s="25" t="n"/>
      <c r="N31" s="24" t="inlineStr">
        <is>
          <t>S3</t>
        </is>
      </c>
    </row>
    <row r="32" ht="18" customHeight="1">
      <c r="A32" s="23" t="inlineStr">
        <is>
          <t>4.3.2</t>
        </is>
      </c>
      <c r="B32" s="23" t="inlineStr">
        <is>
          <t>구현</t>
        </is>
      </c>
      <c r="C32" s="23" t="inlineStr">
        <is>
          <t>4.3 계획</t>
        </is>
      </c>
      <c r="D32" s="24" t="inlineStr">
        <is>
          <t>시드/수동/추정 대체</t>
        </is>
      </c>
      <c r="E32" s="55" t="n">
        <v>1</v>
      </c>
      <c r="F32" s="23" t="n">
        <v>8</v>
      </c>
      <c r="G32" s="23" t="n">
        <v>8</v>
      </c>
      <c r="H32" s="23" t="inlineStr">
        <is>
          <t>기경현</t>
        </is>
      </c>
      <c r="I32" s="23" t="inlineStr">
        <is>
          <t>US-PLN-03</t>
        </is>
      </c>
      <c r="J32" s="24" t="inlineStr">
        <is>
          <t>승인 전 계획</t>
        </is>
      </c>
      <c r="K32" s="23" t="inlineStr">
        <is>
          <t>대기</t>
        </is>
      </c>
      <c r="L32" s="57" t="n">
        <v>0</v>
      </c>
      <c r="M32" s="25" t="n"/>
      <c r="N32" s="24" t="inlineStr">
        <is>
          <t>S3 · UTIC 미승인 대비</t>
        </is>
      </c>
    </row>
    <row r="33" ht="18" customHeight="1">
      <c r="A33" s="23" t="inlineStr">
        <is>
          <t>4.3.3</t>
        </is>
      </c>
      <c r="B33" s="23" t="inlineStr">
        <is>
          <t>구현</t>
        </is>
      </c>
      <c r="C33" s="23" t="inlineStr">
        <is>
          <t>4.3 계획</t>
        </is>
      </c>
      <c r="D33" s="24" t="inlineStr">
        <is>
          <t>계획 조회·편집 화면</t>
        </is>
      </c>
      <c r="E33" s="55" t="n">
        <v>1.5</v>
      </c>
      <c r="F33" s="23" t="n">
        <v>10</v>
      </c>
      <c r="G33" s="23" t="n">
        <v>10</v>
      </c>
      <c r="H33" s="23" t="inlineStr">
        <is>
          <t>조찬희</t>
        </is>
      </c>
      <c r="I33" s="23" t="inlineStr">
        <is>
          <t>US-PLN-05</t>
        </is>
      </c>
      <c r="J33" s="24" t="inlineStr">
        <is>
          <t>계획 화면</t>
        </is>
      </c>
      <c r="K33" s="23" t="inlineStr">
        <is>
          <t>대기</t>
        </is>
      </c>
      <c r="L33" s="57" t="n">
        <v>0</v>
      </c>
      <c r="M33" s="25" t="n"/>
      <c r="N33" s="24" t="inlineStr">
        <is>
          <t>S5. S3에 읽기 초안</t>
        </is>
      </c>
    </row>
    <row r="34" ht="18" customHeight="1">
      <c r="A34" s="23" t="inlineStr">
        <is>
          <t>4.3.4</t>
        </is>
      </c>
      <c r="B34" s="23" t="inlineStr">
        <is>
          <t>구현</t>
        </is>
      </c>
      <c r="C34" s="23" t="inlineStr">
        <is>
          <t>4.3 계획</t>
        </is>
      </c>
      <c r="D34" s="24" t="inlineStr">
        <is>
          <t>ID 매핑 확정 UI</t>
        </is>
      </c>
      <c r="E34" s="55" t="n">
        <v>1</v>
      </c>
      <c r="F34" s="23" t="n">
        <v>11</v>
      </c>
      <c r="G34" s="23" t="n">
        <v>11</v>
      </c>
      <c r="H34" s="23" t="inlineStr">
        <is>
          <t>공동</t>
        </is>
      </c>
      <c r="I34" s="23" t="inlineStr">
        <is>
          <t>US-PLN-04</t>
        </is>
      </c>
      <c r="J34" s="24" t="inlineStr">
        <is>
          <t>매핑 테이블</t>
        </is>
      </c>
      <c r="K34" s="23" t="inlineStr">
        <is>
          <t>대기</t>
        </is>
      </c>
      <c r="L34" s="57" t="n">
        <v>0</v>
      </c>
      <c r="M34" s="25" t="n"/>
      <c r="N34" s="24" t="inlineStr">
        <is>
          <t>S6 2순위. 커트 가능(시드 매핑)</t>
        </is>
      </c>
    </row>
    <row r="35" ht="18" customHeight="1">
      <c r="A35" s="23" t="inlineStr">
        <is>
          <t>4.3.5</t>
        </is>
      </c>
      <c r="B35" s="23" t="inlineStr">
        <is>
          <t>구현</t>
        </is>
      </c>
      <c r="C35" s="23" t="inlineStr">
        <is>
          <t>4.3 계획</t>
        </is>
      </c>
      <c r="D35" s="24" t="inlineStr">
        <is>
          <t>UTIC 일 1회 수집</t>
        </is>
      </c>
      <c r="E35" s="55" t="n">
        <v>2</v>
      </c>
      <c r="F35" s="23" t="n">
        <v>11</v>
      </c>
      <c r="G35" s="23" t="n">
        <v>14</v>
      </c>
      <c r="H35" s="23" t="inlineStr">
        <is>
          <t>기경현</t>
        </is>
      </c>
      <c r="I35" s="23" t="inlineStr">
        <is>
          <t>US-PLN-02</t>
        </is>
      </c>
      <c r="J35" s="24" t="inlineStr">
        <is>
          <t>TOD·SIGNALMAP</t>
        </is>
      </c>
      <c r="K35" s="59" t="inlineStr">
        <is>
          <t>보류</t>
        </is>
      </c>
      <c r="L35" s="57" t="n">
        <v>0</v>
      </c>
      <c r="M35" s="25" t="n"/>
      <c r="N35" s="24" t="inlineStr">
        <is>
          <t>Should. 승인 후에만 커밋. 미승인은 결함 아님</t>
        </is>
      </c>
    </row>
    <row r="36" ht="18" customHeight="1">
      <c r="A36" s="23" t="inlineStr">
        <is>
          <t>4.4.1</t>
        </is>
      </c>
      <c r="B36" s="23" t="inlineStr">
        <is>
          <t>구현</t>
        </is>
      </c>
      <c r="C36" s="23" t="inlineStr">
        <is>
          <t>4.4 검지</t>
        </is>
      </c>
      <c r="D36" s="24" t="inlineStr">
        <is>
          <t>엔진 골격·설정 임계값</t>
        </is>
      </c>
      <c r="E36" s="55" t="n">
        <v>2</v>
      </c>
      <c r="F36" s="23" t="n">
        <v>8</v>
      </c>
      <c r="G36" s="23" t="n">
        <v>8</v>
      </c>
      <c r="H36" s="23" t="inlineStr">
        <is>
          <t>기경현</t>
        </is>
      </c>
      <c r="I36" s="23" t="inlineStr">
        <is>
          <t>US-VAL-01</t>
        </is>
      </c>
      <c r="J36" s="24" t="inlineStr">
        <is>
          <t>규칙 엔진</t>
        </is>
      </c>
      <c r="K36" s="23" t="inlineStr">
        <is>
          <t>대기</t>
        </is>
      </c>
      <c r="L36" s="57" t="n">
        <v>0</v>
      </c>
      <c r="M36" s="25" t="n"/>
      <c r="N36" s="24" t="inlineStr">
        <is>
          <t>S3</t>
        </is>
      </c>
    </row>
    <row r="37" ht="18" customHeight="1">
      <c r="A37" s="23" t="inlineStr">
        <is>
          <t>4.4.2</t>
        </is>
      </c>
      <c r="B37" s="23" t="inlineStr">
        <is>
          <t>구현</t>
        </is>
      </c>
      <c r="C37" s="23" t="inlineStr">
        <is>
          <t>4.4 검지</t>
        </is>
      </c>
      <c r="D37" s="24" t="inlineStr">
        <is>
          <t>등급 INFO~CRITICAL</t>
        </is>
      </c>
      <c r="E37" s="55" t="n">
        <v>0.5</v>
      </c>
      <c r="F37" s="23" t="n">
        <v>8</v>
      </c>
      <c r="G37" s="23" t="n">
        <v>8</v>
      </c>
      <c r="H37" s="23" t="inlineStr">
        <is>
          <t>기경현</t>
        </is>
      </c>
      <c r="I37" s="23" t="inlineStr">
        <is>
          <t>US-VAL-04</t>
        </is>
      </c>
      <c r="J37" s="24" t="inlineStr">
        <is>
          <t>오류 등급</t>
        </is>
      </c>
      <c r="K37" s="23" t="inlineStr">
        <is>
          <t>대기</t>
        </is>
      </c>
      <c r="L37" s="57" t="n">
        <v>0</v>
      </c>
      <c r="M37" s="25" t="n"/>
      <c r="N37" s="24" t="inlineStr">
        <is>
          <t>S3</t>
        </is>
      </c>
    </row>
    <row r="38" ht="18" customHeight="1">
      <c r="A38" s="23" t="inlineStr">
        <is>
          <t>4.4.3</t>
        </is>
      </c>
      <c r="B38" s="23" t="inlineStr">
        <is>
          <t>구현</t>
        </is>
      </c>
      <c r="C38" s="23" t="inlineStr">
        <is>
          <t>4.4 검지</t>
        </is>
      </c>
      <c r="D38" s="24" t="inlineStr">
        <is>
          <t>R01–R04, R07–R09, R11–R12</t>
        </is>
      </c>
      <c r="E38" s="55" t="n">
        <v>2</v>
      </c>
      <c r="F38" s="23" t="n">
        <v>9</v>
      </c>
      <c r="G38" s="23" t="n">
        <v>9</v>
      </c>
      <c r="H38" s="23" t="inlineStr">
        <is>
          <t>기경현</t>
        </is>
      </c>
      <c r="I38" s="23" t="inlineStr">
        <is>
          <t>US-VAL-02</t>
        </is>
      </c>
      <c r="J38" s="24" t="inlineStr">
        <is>
          <t>품질·일관성</t>
        </is>
      </c>
      <c r="K38" s="23" t="inlineStr">
        <is>
          <t>대기</t>
        </is>
      </c>
      <c r="L38" s="57" t="n">
        <v>0</v>
      </c>
      <c r="M38" s="25" t="n"/>
      <c r="N38" s="24" t="inlineStr">
        <is>
          <t>S4. R06·R03·R08·R10 우선</t>
        </is>
      </c>
    </row>
    <row r="39" ht="18" customHeight="1">
      <c r="A39" s="23" t="inlineStr">
        <is>
          <t>4.4.4</t>
        </is>
      </c>
      <c r="B39" s="23" t="inlineStr">
        <is>
          <t>구현</t>
        </is>
      </c>
      <c r="C39" s="23" t="inlineStr">
        <is>
          <t>4.4 검지</t>
        </is>
      </c>
      <c r="D39" s="24" t="inlineStr">
        <is>
          <t>계획 대조 R05, R10</t>
        </is>
      </c>
      <c r="E39" s="55" t="n">
        <v>2</v>
      </c>
      <c r="F39" s="23" t="n">
        <v>9</v>
      </c>
      <c r="G39" s="23" t="n">
        <v>9</v>
      </c>
      <c r="H39" s="23" t="inlineStr">
        <is>
          <t>기경현</t>
        </is>
      </c>
      <c r="I39" s="23" t="inlineStr">
        <is>
          <t>US-VAL-03</t>
        </is>
      </c>
      <c r="J39" s="24" t="inlineStr">
        <is>
          <t>계획 대비 상태</t>
        </is>
      </c>
      <c r="K39" s="23" t="inlineStr">
        <is>
          <t>대기</t>
        </is>
      </c>
      <c r="L39" s="57" t="n">
        <v>0</v>
      </c>
      <c r="M39" s="25" t="n"/>
      <c r="N39" s="24" t="inlineStr">
        <is>
          <t>S4</t>
        </is>
      </c>
    </row>
    <row r="40" ht="18" customHeight="1">
      <c r="A40" s="23" t="inlineStr">
        <is>
          <t>4.4.5</t>
        </is>
      </c>
      <c r="B40" s="23" t="inlineStr">
        <is>
          <t>구현</t>
        </is>
      </c>
      <c r="C40" s="23" t="inlineStr">
        <is>
          <t>4.4 검지</t>
        </is>
      </c>
      <c r="D40" s="24" t="inlineStr">
        <is>
          <t>자동 정보 통제·로그</t>
        </is>
      </c>
      <c r="E40" s="55" t="n">
        <v>2</v>
      </c>
      <c r="F40" s="23" t="n">
        <v>9</v>
      </c>
      <c r="G40" s="23" t="n">
        <v>9</v>
      </c>
      <c r="H40" s="23" t="inlineStr">
        <is>
          <t>기경현</t>
        </is>
      </c>
      <c r="I40" s="23" t="inlineStr">
        <is>
          <t>US-VAL-05</t>
        </is>
      </c>
      <c r="J40" s="24" t="inlineStr">
        <is>
          <t>제공 계층만 수정</t>
        </is>
      </c>
      <c r="K40" s="23" t="inlineStr">
        <is>
          <t>대기</t>
        </is>
      </c>
      <c r="L40" s="57" t="n">
        <v>0</v>
      </c>
      <c r="M40" s="25" t="n"/>
      <c r="N40" s="24" t="inlineStr">
        <is>
          <t>S4 · 원본 불변</t>
        </is>
      </c>
    </row>
    <row r="41" ht="18" customHeight="1">
      <c r="A41" s="23" t="inlineStr">
        <is>
          <t>4.4.6</t>
        </is>
      </c>
      <c r="B41" s="23" t="inlineStr">
        <is>
          <t>구현</t>
        </is>
      </c>
      <c r="C41" s="23" t="inlineStr">
        <is>
          <t>4.4 검지</t>
        </is>
      </c>
      <c r="D41" s="24" t="inlineStr">
        <is>
          <t>해결 불가 이슈 생성/갱신</t>
        </is>
      </c>
      <c r="E41" s="55" t="n">
        <v>1</v>
      </c>
      <c r="F41" s="23" t="n">
        <v>10</v>
      </c>
      <c r="G41" s="23" t="n">
        <v>10</v>
      </c>
      <c r="H41" s="23" t="inlineStr">
        <is>
          <t>기경현</t>
        </is>
      </c>
      <c r="I41" s="23" t="inlineStr">
        <is>
          <t>US-VAL-06</t>
        </is>
      </c>
      <c r="J41" s="24" t="inlineStr">
        <is>
          <t>이슈</t>
        </is>
      </c>
      <c r="K41" s="23" t="inlineStr">
        <is>
          <t>대기</t>
        </is>
      </c>
      <c r="L41" s="57" t="n">
        <v>0</v>
      </c>
      <c r="M41" s="25" t="n"/>
      <c r="N41" s="24" t="inlineStr">
        <is>
          <t>S5</t>
        </is>
      </c>
    </row>
    <row r="42" ht="18" customHeight="1">
      <c r="A42" s="23" t="inlineStr">
        <is>
          <t>4.4.7</t>
        </is>
      </c>
      <c r="B42" s="23" t="inlineStr">
        <is>
          <t>구현</t>
        </is>
      </c>
      <c r="C42" s="23" t="inlineStr">
        <is>
          <t>4.4 검지</t>
        </is>
      </c>
      <c r="D42" s="24" t="inlineStr">
        <is>
          <t>규칙 단위 테스트</t>
        </is>
      </c>
      <c r="E42" s="55" t="n">
        <v>1.5</v>
      </c>
      <c r="F42" s="23" t="n">
        <v>9</v>
      </c>
      <c r="G42" s="23" t="n">
        <v>10</v>
      </c>
      <c r="H42" s="23" t="inlineStr">
        <is>
          <t>기경현</t>
        </is>
      </c>
      <c r="I42" s="23" t="inlineStr">
        <is>
          <t>R01–R12</t>
        </is>
      </c>
      <c r="J42" s="24" t="inlineStr">
        <is>
          <t>정상/경계/오류</t>
        </is>
      </c>
      <c r="K42" s="23" t="inlineStr">
        <is>
          <t>대기</t>
        </is>
      </c>
      <c r="L42" s="57" t="n">
        <v>0</v>
      </c>
      <c r="M42" s="25" t="n"/>
      <c r="N42" s="24" t="inlineStr">
        <is>
          <t>S4–S5</t>
        </is>
      </c>
    </row>
    <row r="43" ht="18" customHeight="1">
      <c r="A43" s="23" t="inlineStr">
        <is>
          <t>4.5.1</t>
        </is>
      </c>
      <c r="B43" s="23" t="inlineStr">
        <is>
          <t>구현</t>
        </is>
      </c>
      <c r="C43" s="23" t="inlineStr">
        <is>
          <t>4.5 관제</t>
        </is>
      </c>
      <c r="D43" s="24" t="inlineStr">
        <is>
          <t>종합 대시보드 지표·차트</t>
        </is>
      </c>
      <c r="E43" s="55" t="n">
        <v>2.5</v>
      </c>
      <c r="F43" s="23" t="n">
        <v>10</v>
      </c>
      <c r="G43" s="23" t="n">
        <v>10</v>
      </c>
      <c r="H43" s="23" t="inlineStr">
        <is>
          <t>조찬희</t>
        </is>
      </c>
      <c r="I43" s="23" t="inlineStr">
        <is>
          <t>US-MON-01</t>
        </is>
      </c>
      <c r="J43" s="24" t="inlineStr">
        <is>
          <t>대시보드</t>
        </is>
      </c>
      <c r="K43" s="23" t="inlineStr">
        <is>
          <t>대기</t>
        </is>
      </c>
      <c r="L43" s="57" t="n">
        <v>0</v>
      </c>
      <c r="M43" s="25" t="n"/>
      <c r="N43" s="24" t="inlineStr">
        <is>
          <t>S5</t>
        </is>
      </c>
    </row>
    <row r="44" ht="18" customHeight="1">
      <c r="A44" s="23" t="inlineStr">
        <is>
          <t>4.5.2</t>
        </is>
      </c>
      <c r="B44" s="23" t="inlineStr">
        <is>
          <t>구현</t>
        </is>
      </c>
      <c r="C44" s="23" t="inlineStr">
        <is>
          <t>4.5 관제</t>
        </is>
      </c>
      <c r="D44" s="24" t="inlineStr">
        <is>
          <t>오류 목록·필터·배지</t>
        </is>
      </c>
      <c r="E44" s="55" t="n">
        <v>1.5</v>
      </c>
      <c r="F44" s="23" t="n">
        <v>10</v>
      </c>
      <c r="G44" s="23" t="n">
        <v>10</v>
      </c>
      <c r="H44" s="23" t="inlineStr">
        <is>
          <t>조찬희</t>
        </is>
      </c>
      <c r="I44" s="23" t="inlineStr">
        <is>
          <t>US-MON-03</t>
        </is>
      </c>
      <c r="J44" s="24" t="inlineStr">
        <is>
          <t>이슈 목록</t>
        </is>
      </c>
      <c r="K44" s="23" t="inlineStr">
        <is>
          <t>대기</t>
        </is>
      </c>
      <c r="L44" s="57" t="n">
        <v>0</v>
      </c>
      <c r="M44" s="25" t="n"/>
      <c r="N44" s="24" t="inlineStr">
        <is>
          <t>S5</t>
        </is>
      </c>
    </row>
    <row r="45" ht="18" customHeight="1">
      <c r="A45" s="23" t="inlineStr">
        <is>
          <t>4.5.3</t>
        </is>
      </c>
      <c r="B45" s="23" t="inlineStr">
        <is>
          <t>구현</t>
        </is>
      </c>
      <c r="C45" s="23" t="inlineStr">
        <is>
          <t>4.5 관제</t>
        </is>
      </c>
      <c r="D45" s="24" t="inlineStr">
        <is>
          <t>교차로 상세·타이머 UX</t>
        </is>
      </c>
      <c r="E45" s="55" t="n">
        <v>2</v>
      </c>
      <c r="F45" s="23" t="n">
        <v>11</v>
      </c>
      <c r="G45" s="23" t="n">
        <v>11</v>
      </c>
      <c r="H45" s="23" t="inlineStr">
        <is>
          <t>조찬희</t>
        </is>
      </c>
      <c r="I45" s="23" t="inlineStr">
        <is>
          <t>US-MON-02</t>
        </is>
      </c>
      <c r="J45" s="24" t="inlineStr">
        <is>
          <t>상세 화면</t>
        </is>
      </c>
      <c r="K45" s="23" t="inlineStr">
        <is>
          <t>대기</t>
        </is>
      </c>
      <c r="L45" s="57" t="n">
        <v>0</v>
      </c>
      <c r="M45" s="25" t="n"/>
      <c r="N45" s="24" t="inlineStr">
        <is>
          <t>S6 1순위 시연 Must</t>
        </is>
      </c>
    </row>
    <row r="46" ht="18" customHeight="1">
      <c r="A46" s="23" t="inlineStr">
        <is>
          <t>4.5.4</t>
        </is>
      </c>
      <c r="B46" s="23" t="inlineStr">
        <is>
          <t>구현</t>
        </is>
      </c>
      <c r="C46" s="23" t="inlineStr">
        <is>
          <t>4.5 관제</t>
        </is>
      </c>
      <c r="D46" s="24" t="inlineStr">
        <is>
          <t>폴링 (푸시 대체)</t>
        </is>
      </c>
      <c r="E46" s="55" t="n">
        <v>0.5</v>
      </c>
      <c r="F46" s="23" t="n">
        <v>10</v>
      </c>
      <c r="G46" s="23" t="n">
        <v>11</v>
      </c>
      <c r="H46" s="23" t="inlineStr">
        <is>
          <t>조찬희</t>
        </is>
      </c>
      <c r="I46" s="23" t="inlineStr">
        <is>
          <t>FR-MON-003-1</t>
        </is>
      </c>
      <c r="J46" s="24" t="inlineStr">
        <is>
          <t>주기 갱신</t>
        </is>
      </c>
      <c r="K46" s="23" t="inlineStr">
        <is>
          <t>대기</t>
        </is>
      </c>
      <c r="L46" s="57" t="n">
        <v>0</v>
      </c>
      <c r="M46" s="25" t="n"/>
      <c r="N46" s="24" t="inlineStr">
        <is>
          <t>Must 대체. 푸시 없으면 폴링</t>
        </is>
      </c>
    </row>
    <row r="47" ht="18" customHeight="1">
      <c r="A47" s="23" t="inlineStr">
        <is>
          <t>4.5.5</t>
        </is>
      </c>
      <c r="B47" s="23" t="inlineStr">
        <is>
          <t>구현</t>
        </is>
      </c>
      <c r="C47" s="23" t="inlineStr">
        <is>
          <t>4.5 관제</t>
        </is>
      </c>
      <c r="D47" s="24" t="inlineStr">
        <is>
          <t>웹소켓 푸시</t>
        </is>
      </c>
      <c r="E47" s="55" t="n">
        <v>1.5</v>
      </c>
      <c r="F47" s="23" t="n">
        <v>11</v>
      </c>
      <c r="G47" s="23" t="n">
        <v>15</v>
      </c>
      <c r="H47" s="23" t="inlineStr">
        <is>
          <t>공동</t>
        </is>
      </c>
      <c r="I47" s="23" t="inlineStr">
        <is>
          <t>US-MON-04</t>
        </is>
      </c>
      <c r="J47" s="24" t="inlineStr">
        <is>
          <t>실시간 푸시</t>
        </is>
      </c>
      <c r="K47" s="60" t="inlineStr">
        <is>
          <t>제외</t>
        </is>
      </c>
      <c r="L47" s="57" t="n">
        <v>0</v>
      </c>
      <c r="M47" s="25" t="n"/>
      <c r="N47" s="24" t="inlineStr">
        <is>
          <t>Could. Must 동결 후. 미포함은 결함 아님</t>
        </is>
      </c>
    </row>
    <row r="48" ht="18" customHeight="1">
      <c r="A48" s="23" t="inlineStr">
        <is>
          <t>4.5.6</t>
        </is>
      </c>
      <c r="B48" s="23" t="inlineStr">
        <is>
          <t>구현</t>
        </is>
      </c>
      <c r="C48" s="23" t="inlineStr">
        <is>
          <t>4.5 관제</t>
        </is>
      </c>
      <c r="D48" s="24" t="inlineStr">
        <is>
          <t>지도 관제</t>
        </is>
      </c>
      <c r="E48" s="55" t="n">
        <v>2</v>
      </c>
      <c r="F48" s="23" t="n">
        <v>15</v>
      </c>
      <c r="G48" s="23" t="n">
        <v>15</v>
      </c>
      <c r="H48" s="23" t="inlineStr">
        <is>
          <t>조찬희</t>
        </is>
      </c>
      <c r="I48" s="23" t="inlineStr">
        <is>
          <t>US-MON-05</t>
        </is>
      </c>
      <c r="J48" s="24" t="inlineStr">
        <is>
          <t>지도</t>
        </is>
      </c>
      <c r="K48" s="60" t="inlineStr">
        <is>
          <t>제외</t>
        </is>
      </c>
      <c r="L48" s="57" t="n">
        <v>0</v>
      </c>
      <c r="M48" s="25" t="n"/>
      <c r="N48" s="24" t="inlineStr">
        <is>
          <t>Could. 15주 여유</t>
        </is>
      </c>
    </row>
    <row r="49" ht="18" customHeight="1">
      <c r="A49" s="23" t="inlineStr">
        <is>
          <t>4.6.1</t>
        </is>
      </c>
      <c r="B49" s="23" t="inlineStr">
        <is>
          <t>구현</t>
        </is>
      </c>
      <c r="C49" s="23" t="inlineStr">
        <is>
          <t>4.6 통제</t>
        </is>
      </c>
      <c r="D49" s="24" t="inlineStr">
        <is>
          <t>이슈 상태 전이·이력 API/화면</t>
        </is>
      </c>
      <c r="E49" s="55" t="n">
        <v>1.5</v>
      </c>
      <c r="F49" s="23" t="n">
        <v>10</v>
      </c>
      <c r="G49" s="23" t="n">
        <v>11</v>
      </c>
      <c r="H49" s="23" t="inlineStr">
        <is>
          <t>공동</t>
        </is>
      </c>
      <c r="I49" s="23" t="inlineStr">
        <is>
          <t>US-ISS-01</t>
        </is>
      </c>
      <c r="J49" s="24" t="inlineStr">
        <is>
          <t>이슈 생명주기</t>
        </is>
      </c>
      <c r="K49" s="23" t="inlineStr">
        <is>
          <t>대기</t>
        </is>
      </c>
      <c r="L49" s="57" t="n">
        <v>0</v>
      </c>
      <c r="M49" s="25" t="n"/>
      <c r="N49" s="24" t="inlineStr">
        <is>
          <t>S5 API 우선, 화면은 S6 가능</t>
        </is>
      </c>
    </row>
    <row r="50" ht="18" customHeight="1">
      <c r="A50" s="23" t="inlineStr">
        <is>
          <t>4.6.2</t>
        </is>
      </c>
      <c r="B50" s="23" t="inlineStr">
        <is>
          <t>구현</t>
        </is>
      </c>
      <c r="C50" s="23" t="inlineStr">
        <is>
          <t>4.6 통제</t>
        </is>
      </c>
      <c r="D50" s="24" t="inlineStr">
        <is>
          <t>원본 vs 제공 병기</t>
        </is>
      </c>
      <c r="E50" s="55" t="n">
        <v>1</v>
      </c>
      <c r="F50" s="23" t="n">
        <v>11</v>
      </c>
      <c r="G50" s="23" t="n">
        <v>11</v>
      </c>
      <c r="H50" s="23" t="inlineStr">
        <is>
          <t>조찬희</t>
        </is>
      </c>
      <c r="I50" s="23" t="inlineStr">
        <is>
          <t>US-CTL-05</t>
        </is>
      </c>
      <c r="J50" s="24" t="inlineStr">
        <is>
          <t>조회 화면</t>
        </is>
      </c>
      <c r="K50" s="23" t="inlineStr">
        <is>
          <t>대기</t>
        </is>
      </c>
      <c r="L50" s="57" t="n">
        <v>0</v>
      </c>
      <c r="M50" s="25" t="n"/>
      <c r="N50" s="24" t="inlineStr">
        <is>
          <t>S6 1순위 · 원본 불변 확인</t>
        </is>
      </c>
    </row>
    <row r="51" ht="18" customHeight="1">
      <c r="A51" s="23" t="inlineStr">
        <is>
          <t>4.6.3</t>
        </is>
      </c>
      <c r="B51" s="23" t="inlineStr">
        <is>
          <t>구현</t>
        </is>
      </c>
      <c r="C51" s="23" t="inlineStr">
        <is>
          <t>4.6 통제</t>
        </is>
      </c>
      <c r="D51" s="24" t="inlineStr">
        <is>
          <t>제공 값 대체·제공 차단</t>
        </is>
      </c>
      <c r="E51" s="55" t="n">
        <v>1</v>
      </c>
      <c r="F51" s="23" t="n">
        <v>11</v>
      </c>
      <c r="G51" s="23" t="n">
        <v>11</v>
      </c>
      <c r="H51" s="23" t="inlineStr">
        <is>
          <t>기경현</t>
        </is>
      </c>
      <c r="I51" s="23" t="inlineStr">
        <is>
          <t>US-CTL-01</t>
        </is>
      </c>
      <c r="J51" s="24" t="inlineStr">
        <is>
          <t>정보 통제</t>
        </is>
      </c>
      <c r="K51" s="23" t="inlineStr">
        <is>
          <t>대기</t>
        </is>
      </c>
      <c r="L51" s="57" t="n">
        <v>0</v>
      </c>
      <c r="M51" s="25" t="n"/>
      <c r="N51" s="24" t="inlineStr">
        <is>
          <t>S6 1순위</t>
        </is>
      </c>
    </row>
    <row r="52" ht="18" customHeight="1">
      <c r="A52" s="23" t="inlineStr">
        <is>
          <t>4.6.4</t>
        </is>
      </c>
      <c r="B52" s="23" t="inlineStr">
        <is>
          <t>구현</t>
        </is>
      </c>
      <c r="C52" s="23" t="inlineStr">
        <is>
          <t>4.6 통제</t>
        </is>
      </c>
      <c r="D52" s="24" t="inlineStr">
        <is>
          <t>계획 수정 후 재검증</t>
        </is>
      </c>
      <c r="E52" s="55" t="n">
        <v>1</v>
      </c>
      <c r="F52" s="23" t="n">
        <v>11</v>
      </c>
      <c r="G52" s="23" t="n">
        <v>11</v>
      </c>
      <c r="H52" s="23" t="inlineStr">
        <is>
          <t>기경현</t>
        </is>
      </c>
      <c r="I52" s="23" t="inlineStr">
        <is>
          <t>US-CTL-02</t>
        </is>
      </c>
      <c r="J52" s="24" t="inlineStr">
        <is>
          <t>계획 통제</t>
        </is>
      </c>
      <c r="K52" s="23" t="inlineStr">
        <is>
          <t>대기</t>
        </is>
      </c>
      <c r="L52" s="57" t="n">
        <v>0</v>
      </c>
      <c r="M52" s="25" t="n"/>
      <c r="N52" s="24" t="inlineStr">
        <is>
          <t>S6 1순위</t>
        </is>
      </c>
    </row>
    <row r="53" ht="18" customHeight="1">
      <c r="A53" s="23" t="inlineStr">
        <is>
          <t>4.6.5</t>
        </is>
      </c>
      <c r="B53" s="23" t="inlineStr">
        <is>
          <t>구현</t>
        </is>
      </c>
      <c r="C53" s="23" t="inlineStr">
        <is>
          <t>4.6 통제</t>
        </is>
      </c>
      <c r="D53" s="24" t="inlineStr">
        <is>
          <t>현장 통제 요청 기록</t>
        </is>
      </c>
      <c r="E53" s="55" t="n">
        <v>1</v>
      </c>
      <c r="F53" s="23" t="n">
        <v>11</v>
      </c>
      <c r="G53" s="23" t="n">
        <v>11</v>
      </c>
      <c r="H53" s="23" t="inlineStr">
        <is>
          <t>기경현</t>
        </is>
      </c>
      <c r="I53" s="23" t="inlineStr">
        <is>
          <t>US-CTL-03</t>
        </is>
      </c>
      <c r="J53" s="24" t="inlineStr">
        <is>
          <t>요청 이력(실전송 없음)</t>
        </is>
      </c>
      <c r="K53" s="23" t="inlineStr">
        <is>
          <t>대기</t>
        </is>
      </c>
      <c r="L53" s="57" t="n">
        <v>0</v>
      </c>
      <c r="M53" s="25" t="n"/>
      <c r="N53" s="24" t="inlineStr">
        <is>
          <t>S6 1순위</t>
        </is>
      </c>
    </row>
    <row r="54" ht="18" customHeight="1">
      <c r="A54" s="23" t="inlineStr">
        <is>
          <t>4.6.6</t>
        </is>
      </c>
      <c r="B54" s="23" t="inlineStr">
        <is>
          <t>구현</t>
        </is>
      </c>
      <c r="C54" s="23" t="inlineStr">
        <is>
          <t>4.6 통제</t>
        </is>
      </c>
      <c r="D54" s="24" t="inlineStr">
        <is>
          <t>감시 제외</t>
        </is>
      </c>
      <c r="E54" s="55" t="n">
        <v>0.5</v>
      </c>
      <c r="F54" s="23" t="n">
        <v>11</v>
      </c>
      <c r="G54" s="23" t="n">
        <v>12</v>
      </c>
      <c r="H54" s="23" t="inlineStr">
        <is>
          <t>기경현</t>
        </is>
      </c>
      <c r="I54" s="23" t="inlineStr">
        <is>
          <t>US-CTL-04</t>
        </is>
      </c>
      <c r="J54" s="24" t="inlineStr">
        <is>
          <t>유지보수 제외</t>
        </is>
      </c>
      <c r="K54" s="59" t="inlineStr">
        <is>
          <t>보류</t>
        </is>
      </c>
      <c r="L54" s="57" t="n">
        <v>0</v>
      </c>
      <c r="M54" s="25" t="n"/>
      <c r="N54" s="24" t="inlineStr">
        <is>
          <t>Should. S6 여유 또는 S-T1 전</t>
        </is>
      </c>
    </row>
    <row r="55" ht="18" customHeight="1">
      <c r="A55" s="23" t="inlineStr">
        <is>
          <t>4.7.1</t>
        </is>
      </c>
      <c r="B55" s="23" t="inlineStr">
        <is>
          <t>구현</t>
        </is>
      </c>
      <c r="C55" s="23" t="inlineStr">
        <is>
          <t>4.7 통계</t>
        </is>
      </c>
      <c r="D55" s="24" t="inlineStr">
        <is>
          <t>시간/일/주/월 집계 배치</t>
        </is>
      </c>
      <c r="E55" s="55" t="n">
        <v>1.5</v>
      </c>
      <c r="F55" s="23" t="n">
        <v>11</v>
      </c>
      <c r="G55" s="23" t="n">
        <v>11</v>
      </c>
      <c r="H55" s="23" t="inlineStr">
        <is>
          <t>기경현</t>
        </is>
      </c>
      <c r="I55" s="23" t="inlineStr">
        <is>
          <t>US-RPT-01</t>
        </is>
      </c>
      <c r="J55" s="24" t="inlineStr">
        <is>
          <t>집계 테이블</t>
        </is>
      </c>
      <c r="K55" s="23" t="inlineStr">
        <is>
          <t>대기</t>
        </is>
      </c>
      <c r="L55" s="57" t="n">
        <v>0</v>
      </c>
      <c r="M55" s="25" t="n"/>
      <c r="N55" s="24" t="inlineStr">
        <is>
          <t>S6 2순위</t>
        </is>
      </c>
    </row>
    <row r="56" ht="18" customHeight="1">
      <c r="A56" s="23" t="inlineStr">
        <is>
          <t>4.7.2</t>
        </is>
      </c>
      <c r="B56" s="23" t="inlineStr">
        <is>
          <t>구현</t>
        </is>
      </c>
      <c r="C56" s="23" t="inlineStr">
        <is>
          <t>4.7 통계</t>
        </is>
      </c>
      <c r="D56" s="24" t="inlineStr">
        <is>
          <t>통계 화면</t>
        </is>
      </c>
      <c r="E56" s="55" t="n">
        <v>1</v>
      </c>
      <c r="F56" s="23" t="n">
        <v>11</v>
      </c>
      <c r="G56" s="23" t="n">
        <v>11</v>
      </c>
      <c r="H56" s="23" t="inlineStr">
        <is>
          <t>조찬희</t>
        </is>
      </c>
      <c r="I56" s="23" t="inlineStr">
        <is>
          <t>US-RPT-01</t>
        </is>
      </c>
      <c r="J56" s="24" t="inlineStr">
        <is>
          <t>통계 UI</t>
        </is>
      </c>
      <c r="K56" s="23" t="inlineStr">
        <is>
          <t>대기</t>
        </is>
      </c>
      <c r="L56" s="57" t="n">
        <v>0</v>
      </c>
      <c r="M56" s="25" t="n"/>
      <c r="N56" s="24" t="inlineStr">
        <is>
          <t>S6 2순위</t>
        </is>
      </c>
    </row>
    <row r="57" ht="18" customHeight="1">
      <c r="A57" s="23" t="inlineStr">
        <is>
          <t>4.7.3</t>
        </is>
      </c>
      <c r="B57" s="23" t="inlineStr">
        <is>
          <t>구현</t>
        </is>
      </c>
      <c r="C57" s="23" t="inlineStr">
        <is>
          <t>4.7 통계</t>
        </is>
      </c>
      <c r="D57" s="24" t="inlineStr">
        <is>
          <t>CSV 내보내기</t>
        </is>
      </c>
      <c r="E57" s="55" t="n">
        <v>0.5</v>
      </c>
      <c r="F57" s="23" t="n">
        <v>11</v>
      </c>
      <c r="G57" s="23" t="n">
        <v>11</v>
      </c>
      <c r="H57" s="23" t="inlineStr">
        <is>
          <t>조찬희</t>
        </is>
      </c>
      <c r="I57" s="23" t="inlineStr">
        <is>
          <t>US-RPT-02</t>
        </is>
      </c>
      <c r="J57" s="24" t="inlineStr">
        <is>
          <t>CSV</t>
        </is>
      </c>
      <c r="K57" s="23" t="inlineStr">
        <is>
          <t>대기</t>
        </is>
      </c>
      <c r="L57" s="57" t="n">
        <v>0</v>
      </c>
      <c r="M57" s="25" t="n"/>
      <c r="N57" s="24" t="inlineStr">
        <is>
          <t>S6 3순위 커트 가능</t>
        </is>
      </c>
    </row>
    <row r="58" ht="18" customHeight="1">
      <c r="A58" s="23" t="inlineStr">
        <is>
          <t>4.8.1</t>
        </is>
      </c>
      <c r="B58" s="23" t="inlineStr">
        <is>
          <t>구현</t>
        </is>
      </c>
      <c r="C58" s="23" t="inlineStr">
        <is>
          <t>4.8 계정·설정</t>
        </is>
      </c>
      <c r="D58" s="24" t="inlineStr">
        <is>
          <t>계정 CRUD 화면</t>
        </is>
      </c>
      <c r="E58" s="55" t="n">
        <v>0.5</v>
      </c>
      <c r="F58" s="23" t="n">
        <v>11</v>
      </c>
      <c r="G58" s="23" t="n">
        <v>11</v>
      </c>
      <c r="H58" s="23" t="inlineStr">
        <is>
          <t>조찬희</t>
        </is>
      </c>
      <c r="I58" s="23" t="inlineStr">
        <is>
          <t>US-ADM-02</t>
        </is>
      </c>
      <c r="J58" s="24" t="inlineStr">
        <is>
          <t>계정 관리</t>
        </is>
      </c>
      <c r="K58" s="23" t="inlineStr">
        <is>
          <t>대기</t>
        </is>
      </c>
      <c r="L58" s="57" t="n">
        <v>0</v>
      </c>
      <c r="M58" s="25" t="n"/>
      <c r="N58" s="24" t="inlineStr">
        <is>
          <t>S6 3순위. 시드 2개로 시연 가능</t>
        </is>
      </c>
    </row>
    <row r="59" ht="18" customHeight="1">
      <c r="A59" s="23" t="inlineStr">
        <is>
          <t>4.8.2</t>
        </is>
      </c>
      <c r="B59" s="23" t="inlineStr">
        <is>
          <t>구현</t>
        </is>
      </c>
      <c r="C59" s="23" t="inlineStr">
        <is>
          <t>4.8 계정·설정</t>
        </is>
      </c>
      <c r="D59" s="24" t="inlineStr">
        <is>
          <t>임계값 설정 화면</t>
        </is>
      </c>
      <c r="E59" s="55" t="n">
        <v>0.5</v>
      </c>
      <c r="F59" s="23" t="n">
        <v>11</v>
      </c>
      <c r="G59" s="23" t="n">
        <v>11</v>
      </c>
      <c r="H59" s="23" t="inlineStr">
        <is>
          <t>조찬희</t>
        </is>
      </c>
      <c r="I59" s="23" t="inlineStr">
        <is>
          <t>US-ADM-04</t>
        </is>
      </c>
      <c r="J59" s="24" t="inlineStr">
        <is>
          <t>규칙 설정</t>
        </is>
      </c>
      <c r="K59" s="23" t="inlineStr">
        <is>
          <t>대기</t>
        </is>
      </c>
      <c r="L59" s="57" t="n">
        <v>0</v>
      </c>
      <c r="M59" s="25" t="n"/>
      <c r="N59" s="24" t="inlineStr">
        <is>
          <t>S6 2순위</t>
        </is>
      </c>
    </row>
    <row r="60" ht="18" customHeight="1">
      <c r="A60" s="23" t="inlineStr">
        <is>
          <t>4.8.3</t>
        </is>
      </c>
      <c r="B60" s="23" t="inlineStr">
        <is>
          <t>구현</t>
        </is>
      </c>
      <c r="C60" s="23" t="inlineStr">
        <is>
          <t>4.8 계정·설정</t>
        </is>
      </c>
      <c r="D60" s="24" t="inlineStr">
        <is>
          <t>쿼터 사용량 표시</t>
        </is>
      </c>
      <c r="E60" s="55" t="n">
        <v>0.5</v>
      </c>
      <c r="F60" s="23" t="n">
        <v>7</v>
      </c>
      <c r="G60" s="23" t="n">
        <v>7</v>
      </c>
      <c r="H60" s="23" t="inlineStr">
        <is>
          <t>조찬희</t>
        </is>
      </c>
      <c r="I60" s="23" t="inlineStr">
        <is>
          <t>US-COL-05</t>
        </is>
      </c>
      <c r="J60" s="24" t="inlineStr">
        <is>
          <t>설정 화면 숫자</t>
        </is>
      </c>
      <c r="K60" s="23" t="inlineStr">
        <is>
          <t>대기</t>
        </is>
      </c>
      <c r="L60" s="57" t="n">
        <v>0</v>
      </c>
      <c r="M60" s="25" t="n"/>
      <c r="N60" s="24" t="inlineStr">
        <is>
          <t>S2</t>
        </is>
      </c>
    </row>
    <row r="61" ht="18" customHeight="1">
      <c r="A61" s="23" t="inlineStr">
        <is>
          <t>5.1</t>
        </is>
      </c>
      <c r="B61" s="23" t="inlineStr">
        <is>
          <t>테스트</t>
        </is>
      </c>
      <c r="C61" s="23" t="inlineStr">
        <is>
          <t>시험</t>
        </is>
      </c>
      <c r="D61" s="24" t="inlineStr">
        <is>
          <t>테스트 계획·케이스 (UC/US/FR)</t>
        </is>
      </c>
      <c r="E61" s="55" t="n">
        <v>1.5</v>
      </c>
      <c r="F61" s="23" t="n">
        <v>12</v>
      </c>
      <c r="G61" s="23" t="n">
        <v>12</v>
      </c>
      <c r="H61" s="23" t="inlineStr">
        <is>
          <t>조찬희</t>
        </is>
      </c>
      <c r="I61" s="23" t="inlineStr"/>
      <c r="J61" s="24" t="inlineStr">
        <is>
          <t>테스트 계획서</t>
        </is>
      </c>
      <c r="K61" s="23" t="inlineStr">
        <is>
          <t>대기</t>
        </is>
      </c>
      <c r="L61" s="57" t="n">
        <v>0</v>
      </c>
      <c r="M61" s="25" t="n"/>
      <c r="N61" s="24" t="inlineStr">
        <is>
          <t>S-T1</t>
        </is>
      </c>
    </row>
    <row r="62" ht="18" customHeight="1">
      <c r="A62" s="23" t="inlineStr">
        <is>
          <t>5.2</t>
        </is>
      </c>
      <c r="B62" s="23" t="inlineStr">
        <is>
          <t>테스트</t>
        </is>
      </c>
      <c r="C62" s="23" t="inlineStr">
        <is>
          <t>시험</t>
        </is>
      </c>
      <c r="D62" s="24" t="inlineStr">
        <is>
          <t>규칙 단위·경계값</t>
        </is>
      </c>
      <c r="E62" s="55" t="n">
        <v>1.5</v>
      </c>
      <c r="F62" s="23" t="n">
        <v>12</v>
      </c>
      <c r="G62" s="23" t="n">
        <v>12</v>
      </c>
      <c r="H62" s="23" t="inlineStr">
        <is>
          <t>기경현</t>
        </is>
      </c>
      <c r="I62" s="23" t="inlineStr"/>
      <c r="J62" s="24" t="inlineStr">
        <is>
          <t>규칙 결과</t>
        </is>
      </c>
      <c r="K62" s="23" t="inlineStr">
        <is>
          <t>대기</t>
        </is>
      </c>
      <c r="L62" s="57" t="n">
        <v>0</v>
      </c>
      <c r="M62" s="25" t="n"/>
      <c r="N62" s="24" t="inlineStr">
        <is>
          <t>원본 불변·R06 0건 포함</t>
        </is>
      </c>
    </row>
    <row r="63" ht="18" customHeight="1">
      <c r="A63" s="23" t="inlineStr">
        <is>
          <t>5.3</t>
        </is>
      </c>
      <c r="B63" s="23" t="inlineStr">
        <is>
          <t>테스트</t>
        </is>
      </c>
      <c r="C63" s="23" t="inlineStr">
        <is>
          <t>시험</t>
        </is>
      </c>
      <c r="D63" s="24" t="inlineStr">
        <is>
          <t>API·권한(403)·원본 불변</t>
        </is>
      </c>
      <c r="E63" s="55" t="n">
        <v>1.5</v>
      </c>
      <c r="F63" s="23" t="n">
        <v>12</v>
      </c>
      <c r="G63" s="23" t="n">
        <v>12</v>
      </c>
      <c r="H63" s="23" t="inlineStr">
        <is>
          <t>기경현</t>
        </is>
      </c>
      <c r="I63" s="23" t="inlineStr"/>
      <c r="J63" s="24" t="inlineStr">
        <is>
          <t>API 결과</t>
        </is>
      </c>
      <c r="K63" s="23" t="inlineStr">
        <is>
          <t>대기</t>
        </is>
      </c>
      <c r="L63" s="57" t="n">
        <v>0</v>
      </c>
      <c r="M63" s="25" t="n"/>
      <c r="N63" s="24" t="inlineStr"/>
    </row>
    <row r="64" ht="18" customHeight="1">
      <c r="A64" s="23" t="inlineStr">
        <is>
          <t>5.4</t>
        </is>
      </c>
      <c r="B64" s="23" t="inlineStr">
        <is>
          <t>테스트</t>
        </is>
      </c>
      <c r="C64" s="23" t="inlineStr">
        <is>
          <t>시험</t>
        </is>
      </c>
      <c r="D64" s="24" t="inlineStr">
        <is>
          <t>E2E (시나리오 5.1~5.4)</t>
        </is>
      </c>
      <c r="E64" s="55" t="n">
        <v>1.5</v>
      </c>
      <c r="F64" s="23" t="n">
        <v>12</v>
      </c>
      <c r="G64" s="23" t="n">
        <v>13</v>
      </c>
      <c r="H64" s="23" t="inlineStr">
        <is>
          <t>조찬희</t>
        </is>
      </c>
      <c r="I64" s="23" t="inlineStr"/>
      <c r="J64" s="24" t="inlineStr">
        <is>
          <t>E2E 결과</t>
        </is>
      </c>
      <c r="K64" s="23" t="inlineStr">
        <is>
          <t>대기</t>
        </is>
      </c>
      <c r="L64" s="57" t="n">
        <v>0</v>
      </c>
      <c r="M64" s="25" t="n"/>
      <c r="N64" s="24" t="inlineStr"/>
    </row>
    <row r="65" ht="18" customHeight="1">
      <c r="A65" s="23" t="inlineStr">
        <is>
          <t>5.5</t>
        </is>
      </c>
      <c r="B65" s="23" t="inlineStr">
        <is>
          <t>테스트</t>
        </is>
      </c>
      <c r="C65" s="23" t="inlineStr">
        <is>
          <t>시험</t>
        </is>
      </c>
      <c r="D65" s="24" t="inlineStr">
        <is>
          <t>성능 3초 (대시보드·목록·상세·통계)</t>
        </is>
      </c>
      <c r="E65" s="55" t="n">
        <v>0.5</v>
      </c>
      <c r="F65" s="23" t="n">
        <v>13</v>
      </c>
      <c r="G65" s="23" t="n">
        <v>13</v>
      </c>
      <c r="H65" s="23" t="inlineStr">
        <is>
          <t>공동</t>
        </is>
      </c>
      <c r="I65" s="23" t="inlineStr"/>
      <c r="J65" s="24" t="inlineStr">
        <is>
          <t>NFR-PER-001</t>
        </is>
      </c>
      <c r="K65" s="23" t="inlineStr">
        <is>
          <t>대기</t>
        </is>
      </c>
      <c r="L65" s="57" t="n">
        <v>0</v>
      </c>
      <c r="M65" s="25" t="n"/>
      <c r="N65" s="24" t="inlineStr">
        <is>
          <t>S-T2</t>
        </is>
      </c>
    </row>
    <row r="66" ht="18" customHeight="1">
      <c r="A66" s="23" t="inlineStr">
        <is>
          <t>5.6</t>
        </is>
      </c>
      <c r="B66" s="23" t="inlineStr">
        <is>
          <t>테스트</t>
        </is>
      </c>
      <c r="C66" s="23" t="inlineStr">
        <is>
          <t>시험</t>
        </is>
      </c>
      <c r="D66" s="24" t="inlineStr">
        <is>
          <t>보안 점검표 (해시, 시크릿, 입력)</t>
        </is>
      </c>
      <c r="E66" s="55" t="n">
        <v>0.5</v>
      </c>
      <c r="F66" s="23" t="n">
        <v>13</v>
      </c>
      <c r="G66" s="23" t="n">
        <v>13</v>
      </c>
      <c r="H66" s="23" t="inlineStr">
        <is>
          <t>기경현</t>
        </is>
      </c>
      <c r="I66" s="23" t="inlineStr"/>
      <c r="J66" s="24" t="inlineStr">
        <is>
          <t>NFR-SEC</t>
        </is>
      </c>
      <c r="K66" s="23" t="inlineStr">
        <is>
          <t>대기</t>
        </is>
      </c>
      <c r="L66" s="57" t="n">
        <v>0</v>
      </c>
      <c r="M66" s="25" t="n"/>
      <c r="N66" s="24" t="inlineStr"/>
    </row>
    <row r="67" ht="18" customHeight="1">
      <c r="A67" s="23" t="inlineStr">
        <is>
          <t>5.7</t>
        </is>
      </c>
      <c r="B67" s="23" t="inlineStr">
        <is>
          <t>테스트</t>
        </is>
      </c>
      <c r="C67" s="23" t="inlineStr">
        <is>
          <t>시험</t>
        </is>
      </c>
      <c r="D67" s="24" t="inlineStr">
        <is>
          <t>결함 등록·수정·회귀</t>
        </is>
      </c>
      <c r="E67" s="55" t="n">
        <v>1</v>
      </c>
      <c r="F67" s="23" t="n">
        <v>13</v>
      </c>
      <c r="G67" s="23" t="n">
        <v>13</v>
      </c>
      <c r="H67" s="23" t="inlineStr">
        <is>
          <t>공동</t>
        </is>
      </c>
      <c r="I67" s="23" t="inlineStr"/>
      <c r="J67" s="24" t="inlineStr">
        <is>
          <t>결함 목록</t>
        </is>
      </c>
      <c r="K67" s="23" t="inlineStr">
        <is>
          <t>대기</t>
        </is>
      </c>
      <c r="L67" s="57" t="n">
        <v>0</v>
      </c>
      <c r="M67" s="25" t="n"/>
      <c r="N67" s="24" t="inlineStr">
        <is>
          <t>치명/주요 0</t>
        </is>
      </c>
    </row>
    <row r="68" ht="18" customHeight="1">
      <c r="A68" s="23" t="inlineStr">
        <is>
          <t>6.1</t>
        </is>
      </c>
      <c r="B68" s="23" t="inlineStr">
        <is>
          <t>안정화·인도</t>
        </is>
      </c>
      <c r="C68" s="23" t="inlineStr">
        <is>
          <t>인도</t>
        </is>
      </c>
      <c r="D68" s="24" t="inlineStr">
        <is>
          <t>잔여 결함·Should 여유분</t>
        </is>
      </c>
      <c r="E68" s="55" t="n">
        <v>2</v>
      </c>
      <c r="F68" s="23" t="n">
        <v>14</v>
      </c>
      <c r="G68" s="23" t="n">
        <v>14</v>
      </c>
      <c r="H68" s="23" t="inlineStr">
        <is>
          <t>공동</t>
        </is>
      </c>
      <c r="I68" s="23" t="inlineStr"/>
      <c r="J68" s="24" t="inlineStr">
        <is>
          <t>동결 빌드</t>
        </is>
      </c>
      <c r="K68" s="23" t="inlineStr">
        <is>
          <t>대기</t>
        </is>
      </c>
      <c r="L68" s="57" t="n">
        <v>0</v>
      </c>
      <c r="M68" s="25" t="n"/>
      <c r="N68" s="24" t="inlineStr">
        <is>
          <t>S-R1. 신규 Must 없음</t>
        </is>
      </c>
    </row>
    <row r="69" ht="18" customHeight="1">
      <c r="A69" s="23" t="inlineStr">
        <is>
          <t>6.2</t>
        </is>
      </c>
      <c r="B69" s="23" t="inlineStr">
        <is>
          <t>안정화·인도</t>
        </is>
      </c>
      <c r="C69" s="23" t="inlineStr">
        <is>
          <t>인도</t>
        </is>
      </c>
      <c r="D69" s="24" t="inlineStr">
        <is>
          <t>사용자·운영 매뉴얼, 복구 절차</t>
        </is>
      </c>
      <c r="E69" s="55" t="n">
        <v>1.5</v>
      </c>
      <c r="F69" s="23" t="n">
        <v>14</v>
      </c>
      <c r="G69" s="23" t="n">
        <v>14</v>
      </c>
      <c r="H69" s="23" t="inlineStr">
        <is>
          <t>조찬희</t>
        </is>
      </c>
      <c r="I69" s="23" t="inlineStr"/>
      <c r="J69" s="24" t="inlineStr">
        <is>
          <t>매뉴얼</t>
        </is>
      </c>
      <c r="K69" s="23" t="inlineStr">
        <is>
          <t>대기</t>
        </is>
      </c>
      <c r="L69" s="57" t="n">
        <v>0</v>
      </c>
      <c r="M69" s="25" t="n"/>
      <c r="N69" s="24" t="inlineStr"/>
    </row>
    <row r="70" ht="18" customHeight="1">
      <c r="A70" s="23" t="inlineStr">
        <is>
          <t>6.3</t>
        </is>
      </c>
      <c r="B70" s="23" t="inlineStr">
        <is>
          <t>안정화·인도</t>
        </is>
      </c>
      <c r="C70" s="23" t="inlineStr">
        <is>
          <t>인도</t>
        </is>
      </c>
      <c r="D70" s="24" t="inlineStr">
        <is>
          <t>설치 가이드 (시드·키·기동)</t>
        </is>
      </c>
      <c r="E70" s="55" t="n">
        <v>1</v>
      </c>
      <c r="F70" s="23" t="n">
        <v>14</v>
      </c>
      <c r="G70" s="23" t="n">
        <v>14</v>
      </c>
      <c r="H70" s="23" t="inlineStr">
        <is>
          <t>기경현</t>
        </is>
      </c>
      <c r="I70" s="23" t="inlineStr"/>
      <c r="J70" s="24" t="inlineStr">
        <is>
          <t>설치 가이드</t>
        </is>
      </c>
      <c r="K70" s="23" t="inlineStr">
        <is>
          <t>대기</t>
        </is>
      </c>
      <c r="L70" s="57" t="n">
        <v>0</v>
      </c>
      <c r="M70" s="25" t="n"/>
      <c r="N70" s="24" t="inlineStr"/>
    </row>
    <row r="71" ht="18" customHeight="1">
      <c r="A71" s="23" t="inlineStr">
        <is>
          <t>6.4</t>
        </is>
      </c>
      <c r="B71" s="23" t="inlineStr">
        <is>
          <t>안정화·인도</t>
        </is>
      </c>
      <c r="C71" s="23" t="inlineStr">
        <is>
          <t>인도</t>
        </is>
      </c>
      <c r="D71" s="24" t="inlineStr">
        <is>
          <t>시연 스크립트 (5.1~5.4)</t>
        </is>
      </c>
      <c r="E71" s="55" t="n">
        <v>1</v>
      </c>
      <c r="F71" s="23" t="n">
        <v>15</v>
      </c>
      <c r="G71" s="23" t="n">
        <v>15</v>
      </c>
      <c r="H71" s="23" t="inlineStr">
        <is>
          <t>조찬희</t>
        </is>
      </c>
      <c r="I71" s="23" t="inlineStr"/>
      <c r="J71" s="24" t="inlineStr">
        <is>
          <t>시연 대본</t>
        </is>
      </c>
      <c r="K71" s="23" t="inlineStr">
        <is>
          <t>대기</t>
        </is>
      </c>
      <c r="L71" s="57" t="n">
        <v>0</v>
      </c>
      <c r="M71" s="25" t="n"/>
      <c r="N71" s="24" t="inlineStr">
        <is>
          <t>S-R2</t>
        </is>
      </c>
    </row>
    <row r="72" ht="18" customHeight="1">
      <c r="A72" s="23" t="inlineStr">
        <is>
          <t>6.5</t>
        </is>
      </c>
      <c r="B72" s="23" t="inlineStr">
        <is>
          <t>안정화·인도</t>
        </is>
      </c>
      <c r="C72" s="23" t="inlineStr">
        <is>
          <t>인도</t>
        </is>
      </c>
      <c r="D72" s="24" t="inlineStr">
        <is>
          <t>완료 보고·발표 자료</t>
        </is>
      </c>
      <c r="E72" s="55" t="n">
        <v>1.5</v>
      </c>
      <c r="F72" s="23" t="n">
        <v>15</v>
      </c>
      <c r="G72" s="23" t="n">
        <v>15</v>
      </c>
      <c r="H72" s="23" t="inlineStr">
        <is>
          <t>조찬희</t>
        </is>
      </c>
      <c r="I72" s="23" t="inlineStr"/>
      <c r="J72" s="24" t="inlineStr">
        <is>
          <t>발표</t>
        </is>
      </c>
      <c r="K72" s="23" t="inlineStr">
        <is>
          <t>대기</t>
        </is>
      </c>
      <c r="L72" s="57" t="n">
        <v>0</v>
      </c>
      <c r="M72" s="25" t="n"/>
      <c r="N72" s="24" t="inlineStr"/>
    </row>
    <row r="73" ht="18" customHeight="1">
      <c r="A73" s="23" t="inlineStr">
        <is>
          <t>6.6</t>
        </is>
      </c>
      <c r="B73" s="23" t="inlineStr">
        <is>
          <t>안정화·인도</t>
        </is>
      </c>
      <c r="C73" s="23" t="inlineStr">
        <is>
          <t>인도</t>
        </is>
      </c>
      <c r="D73" s="24" t="inlineStr">
        <is>
          <t>재설치 검증</t>
        </is>
      </c>
      <c r="E73" s="55" t="n">
        <v>0.5</v>
      </c>
      <c r="F73" s="23" t="n">
        <v>15</v>
      </c>
      <c r="G73" s="23" t="n">
        <v>15</v>
      </c>
      <c r="H73" s="23" t="inlineStr">
        <is>
          <t>기경현</t>
        </is>
      </c>
      <c r="I73" s="23" t="inlineStr"/>
      <c r="J73" s="24" t="inlineStr">
        <is>
          <t>점검</t>
        </is>
      </c>
      <c r="K73" s="23" t="inlineStr">
        <is>
          <t>대기</t>
        </is>
      </c>
      <c r="L73" s="57" t="n">
        <v>0</v>
      </c>
      <c r="M73" s="25" t="n"/>
      <c r="N73" s="24" t="inlineStr">
        <is>
          <t>M7 통과 조건</t>
        </is>
      </c>
    </row>
  </sheetData>
  <autoFilter ref="A1:N73"/>
  <conditionalFormatting sqref="K2:K73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conditionalFormatting sqref="L2:L73">
    <cfRule type="cellIs" priority="6" operator="equal" dxfId="0">
      <formula>1</formula>
    </cfRule>
    <cfRule type="cellIs" priority="7" operator="between" dxfId="11">
      <formula>0.01</formula>
      <formula>0.99</formula>
    </cfRule>
  </conditionalFormatting>
  <dataValidations count="2">
    <dataValidation sqref="K2:K73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  <dataValidation sqref="L2:L73" showDropDown="0" showInputMessage="0" showErrorMessage="0" allowBlank="1" errorTitle="진행률" error="0~100% 사이 값을 입력하세요." type="decimal" operator="between">
      <formula1>0</formula1>
      <formula2>1</formula2>
    </dataValidation>
  </dataValidations>
  <printOptions gridLines="0"/>
  <pageMargins left="0.4" right="0.4" top="0.6" bottom="0.5" header="0.25" footer="0.25"/>
  <pageSetup orientation="landscape" paperSize="9" fitToHeight="0" fitToWidth="1"/>
  <headerFooter>
    <oddHeader>&amp;L&amp;8WBS&amp;R&amp;8Signal Guard · 백로그WBS v1.0</oddHeader>
    <oddFooter>&amp;L&amp;8수업용 MVP · 작성 2026-09-12&amp;R&amp;8&amp;P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A5B00"/>
    <outlinePr summaryBelow="1" summaryRight="1"/>
    <pageSetUpPr fitToPage="1"/>
  </sheetPr>
  <dimension ref="A1:M39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6" customWidth="1" min="4" max="4"/>
    <col width="34" customWidth="1" min="5" max="5"/>
    <col width="6" customWidth="1" min="6" max="6"/>
    <col width="12" customWidth="1" min="7" max="7"/>
    <col width="10" customWidth="1" min="8" max="8"/>
    <col width="10" customWidth="1" min="9" max="9"/>
    <col width="28" customWidth="1" min="10" max="10"/>
    <col width="10" customWidth="1" min="11" max="11"/>
    <col width="10" customWidth="1" min="12" max="12"/>
    <col width="40" customWidth="1" min="13" max="13"/>
  </cols>
  <sheetData>
    <row r="1" ht="22" customHeight="1">
      <c r="A1" s="3" t="inlineStr">
        <is>
          <t>P</t>
        </is>
      </c>
      <c r="B1" s="3" t="inlineStr">
        <is>
          <t>ID</t>
        </is>
      </c>
      <c r="C1" s="3" t="inlineStr">
        <is>
          <t>구분</t>
        </is>
      </c>
      <c r="D1" s="3" t="inlineStr">
        <is>
          <t>에픽</t>
        </is>
      </c>
      <c r="E1" s="3" t="inlineStr">
        <is>
          <t>항목</t>
        </is>
      </c>
      <c r="F1" s="3" t="inlineStr">
        <is>
          <t>SP</t>
        </is>
      </c>
      <c r="G1" s="3" t="inlineStr">
        <is>
          <t>목표스프린트</t>
        </is>
      </c>
      <c r="H1" s="3" t="inlineStr">
        <is>
          <t>주담당</t>
        </is>
      </c>
      <c r="I1" s="3" t="inlineStr">
        <is>
          <t>부담당</t>
        </is>
      </c>
      <c r="J1" s="3" t="inlineStr">
        <is>
          <t>선행</t>
        </is>
      </c>
      <c r="K1" s="3" t="inlineStr">
        <is>
          <t>상태</t>
        </is>
      </c>
      <c r="L1" s="3" t="inlineStr">
        <is>
          <t>진행률</t>
        </is>
      </c>
      <c r="M1" s="3" t="inlineStr">
        <is>
          <t>비고</t>
        </is>
      </c>
    </row>
    <row r="2" ht="18" customHeight="1">
      <c r="A2" s="23" t="n">
        <v>1</v>
      </c>
      <c r="B2" s="23" t="inlineStr">
        <is>
          <t>EN-ENV-01</t>
        </is>
      </c>
      <c r="C2" s="61" t="inlineStr">
        <is>
          <t>EN</t>
        </is>
      </c>
      <c r="D2" s="23" t="inlineStr">
        <is>
          <t>기반</t>
        </is>
      </c>
      <c r="E2" s="24" t="inlineStr">
        <is>
          <t>Git 저장소, 브랜치 규칙, 로컬/Docker 기동</t>
        </is>
      </c>
      <c r="F2" s="23" t="n">
        <v>3</v>
      </c>
      <c r="G2" s="23" t="inlineStr">
        <is>
          <t>S1</t>
        </is>
      </c>
      <c r="H2" s="23" t="inlineStr">
        <is>
          <t>기경현</t>
        </is>
      </c>
      <c r="I2" s="23" t="inlineStr"/>
      <c r="J2" s="24" t="inlineStr">
        <is>
          <t>—</t>
        </is>
      </c>
      <c r="K2" s="23" t="inlineStr">
        <is>
          <t>대기</t>
        </is>
      </c>
      <c r="L2" s="57" t="n">
        <v>0</v>
      </c>
      <c r="M2" s="24" t="inlineStr">
        <is>
          <t>README 기동 절차</t>
        </is>
      </c>
    </row>
    <row r="3" ht="18" customHeight="1">
      <c r="A3" s="23" t="n">
        <v>1</v>
      </c>
      <c r="B3" s="23" t="inlineStr">
        <is>
          <t>EN-DB-01</t>
        </is>
      </c>
      <c r="C3" s="61" t="inlineStr">
        <is>
          <t>EN</t>
        </is>
      </c>
      <c r="D3" s="23" t="inlineStr">
        <is>
          <t>기반</t>
        </is>
      </c>
      <c r="E3" s="24" t="inlineStr">
        <is>
          <t>논리 엔터티 스키마·마이그레이션</t>
        </is>
      </c>
      <c r="F3" s="23" t="n">
        <v>5</v>
      </c>
      <c r="G3" s="23" t="inlineStr">
        <is>
          <t>S1</t>
        </is>
      </c>
      <c r="H3" s="23" t="inlineStr">
        <is>
          <t>기경현</t>
        </is>
      </c>
      <c r="I3" s="23" t="inlineStr"/>
      <c r="J3" s="24" t="inlineStr">
        <is>
          <t>설계 ERD</t>
        </is>
      </c>
      <c r="K3" s="23" t="inlineStr">
        <is>
          <t>대기</t>
        </is>
      </c>
      <c r="L3" s="57" t="n">
        <v>0</v>
      </c>
      <c r="M3" s="24" t="inlineStr">
        <is>
          <t>원본/제공/계획/이슈 테이블</t>
        </is>
      </c>
    </row>
    <row r="4" ht="18" customHeight="1">
      <c r="A4" s="23" t="n">
        <v>1</v>
      </c>
      <c r="B4" s="23" t="inlineStr">
        <is>
          <t>EN-API-01</t>
        </is>
      </c>
      <c r="C4" s="61" t="inlineStr">
        <is>
          <t>EN</t>
        </is>
      </c>
      <c r="D4" s="23" t="inlineStr">
        <is>
          <t>기반</t>
        </is>
      </c>
      <c r="E4" s="24" t="inlineStr">
        <is>
          <t>REST 골격, 인증 미들웨어, 오류 형식</t>
        </is>
      </c>
      <c r="F4" s="23" t="n">
        <v>3</v>
      </c>
      <c r="G4" s="23" t="inlineStr">
        <is>
          <t>S1</t>
        </is>
      </c>
      <c r="H4" s="23" t="inlineStr">
        <is>
          <t>기경현</t>
        </is>
      </c>
      <c r="I4" s="23" t="inlineStr"/>
      <c r="J4" s="24" t="inlineStr">
        <is>
          <t>EN-ENV-01</t>
        </is>
      </c>
      <c r="K4" s="23" t="inlineStr">
        <is>
          <t>대기</t>
        </is>
      </c>
      <c r="L4" s="57" t="n">
        <v>0</v>
      </c>
      <c r="M4" s="24" t="inlineStr">
        <is>
          <t>헬스체크, 401/403</t>
        </is>
      </c>
    </row>
    <row r="5" ht="18" customHeight="1">
      <c r="A5" s="23" t="n">
        <v>1</v>
      </c>
      <c r="B5" s="23" t="inlineStr">
        <is>
          <t>EN-SEED-01</t>
        </is>
      </c>
      <c r="C5" s="61" t="inlineStr">
        <is>
          <t>EN</t>
        </is>
      </c>
      <c r="D5" s="23" t="inlineStr">
        <is>
          <t>기반</t>
        </is>
      </c>
      <c r="E5" s="24" t="inlineStr">
        <is>
          <t>인천 표본 시드, 계획 시드, 관리자/운영자 계정</t>
        </is>
      </c>
      <c r="F5" s="23" t="n">
        <v>3</v>
      </c>
      <c r="G5" s="23" t="inlineStr">
        <is>
          <t>S1</t>
        </is>
      </c>
      <c r="H5" s="23" t="inlineStr">
        <is>
          <t>기경현</t>
        </is>
      </c>
      <c r="I5" s="23" t="inlineStr"/>
      <c r="J5" s="24" t="inlineStr">
        <is>
          <t>EN-DB-01</t>
        </is>
      </c>
      <c r="K5" s="23" t="inlineStr">
        <is>
          <t>대기</t>
        </is>
      </c>
      <c r="L5" s="57" t="n">
        <v>0</v>
      </c>
      <c r="M5" s="24" t="inlineStr">
        <is>
          <t>시연용 데이터</t>
        </is>
      </c>
    </row>
    <row r="6" ht="18" customHeight="1">
      <c r="A6" s="23" t="n">
        <v>1</v>
      </c>
      <c r="B6" s="23" t="inlineStr">
        <is>
          <t>EN-FE-01</t>
        </is>
      </c>
      <c r="C6" s="61" t="inlineStr">
        <is>
          <t>EN</t>
        </is>
      </c>
      <c r="D6" s="23" t="inlineStr">
        <is>
          <t>기반</t>
        </is>
      </c>
      <c r="E6" s="24" t="inlineStr">
        <is>
          <t>앱 셸, 라우팅, 역할별 메뉴, 공통 레이아웃</t>
        </is>
      </c>
      <c r="F6" s="23" t="n">
        <v>3</v>
      </c>
      <c r="G6" s="23" t="inlineStr">
        <is>
          <t>S1</t>
        </is>
      </c>
      <c r="H6" s="23" t="inlineStr">
        <is>
          <t>조찬희</t>
        </is>
      </c>
      <c r="I6" s="23" t="inlineStr"/>
      <c r="J6" s="24" t="inlineStr">
        <is>
          <t>EN-API-01</t>
        </is>
      </c>
      <c r="K6" s="23" t="inlineStr">
        <is>
          <t>대기</t>
        </is>
      </c>
      <c r="L6" s="57" t="n">
        <v>0</v>
      </c>
      <c r="M6" s="24" t="inlineStr">
        <is>
          <t>로그인 후 빈 대시보드 골격</t>
        </is>
      </c>
    </row>
    <row r="7" ht="18" customHeight="1">
      <c r="A7" s="23" t="n">
        <v>10</v>
      </c>
      <c r="B7" s="23" t="inlineStr">
        <is>
          <t>US-ADM-01</t>
        </is>
      </c>
      <c r="C7" s="62" t="inlineStr">
        <is>
          <t>Must</t>
        </is>
      </c>
      <c r="D7" s="23" t="inlineStr">
        <is>
          <t>E7 계정·설정</t>
        </is>
      </c>
      <c r="E7" s="24" t="inlineStr">
        <is>
          <t>로그인·RBAC</t>
        </is>
      </c>
      <c r="F7" s="23" t="n">
        <v>3</v>
      </c>
      <c r="G7" s="23" t="inlineStr">
        <is>
          <t>S1</t>
        </is>
      </c>
      <c r="H7" s="23" t="inlineStr">
        <is>
          <t>공동</t>
        </is>
      </c>
      <c r="I7" s="23" t="inlineStr"/>
      <c r="J7" s="24" t="inlineStr">
        <is>
          <t>EN-API-01, EN-FE-01</t>
        </is>
      </c>
      <c r="K7" s="23" t="inlineStr">
        <is>
          <t>대기</t>
        </is>
      </c>
      <c r="L7" s="57" t="n">
        <v>0</v>
      </c>
      <c r="M7" s="24" t="inlineStr">
        <is>
          <t>운영자는 설정 메뉴 없음</t>
        </is>
      </c>
    </row>
    <row r="8" ht="18" customHeight="1">
      <c r="A8" s="23" t="n">
        <v>20</v>
      </c>
      <c r="B8" s="23" t="inlineStr">
        <is>
          <t>US-COL-01</t>
        </is>
      </c>
      <c r="C8" s="62" t="inlineStr">
        <is>
          <t>Must</t>
        </is>
      </c>
      <c r="D8" s="23" t="inlineStr">
        <is>
          <t>E1 수집</t>
        </is>
      </c>
      <c r="E8" s="24" t="inlineStr">
        <is>
          <t>교차로 맵 수집</t>
        </is>
      </c>
      <c r="F8" s="23" t="n">
        <v>3</v>
      </c>
      <c r="G8" s="23" t="inlineStr">
        <is>
          <t>S2</t>
        </is>
      </c>
      <c r="H8" s="23" t="inlineStr">
        <is>
          <t>기경현</t>
        </is>
      </c>
      <c r="I8" s="23" t="inlineStr">
        <is>
          <t>조찬희</t>
        </is>
      </c>
      <c r="J8" s="24" t="inlineStr">
        <is>
          <t>EN-DB-01, US-ADM-03</t>
        </is>
      </c>
      <c r="K8" s="23" t="inlineStr">
        <is>
          <t>대기</t>
        </is>
      </c>
      <c r="L8" s="57" t="n">
        <v>0</v>
      </c>
      <c r="M8" s="24" t="inlineStr"/>
    </row>
    <row r="9" ht="18" customHeight="1">
      <c r="A9" s="23" t="n">
        <v>21</v>
      </c>
      <c r="B9" s="23" t="inlineStr">
        <is>
          <t>US-COL-02</t>
        </is>
      </c>
      <c r="C9" s="62" t="inlineStr">
        <is>
          <t>Must</t>
        </is>
      </c>
      <c r="D9" s="23" t="inlineStr">
        <is>
          <t>E1 수집</t>
        </is>
      </c>
      <c r="E9" s="24" t="inlineStr">
        <is>
          <t>실시간 상태 수집</t>
        </is>
      </c>
      <c r="F9" s="23" t="n">
        <v>5</v>
      </c>
      <c r="G9" s="23" t="inlineStr">
        <is>
          <t>S2</t>
        </is>
      </c>
      <c r="H9" s="23" t="inlineStr">
        <is>
          <t>기경현</t>
        </is>
      </c>
      <c r="I9" s="23" t="inlineStr"/>
      <c r="J9" s="24" t="inlineStr">
        <is>
          <t>US-COL-01</t>
        </is>
      </c>
      <c r="K9" s="23" t="inlineStr">
        <is>
          <t>대기</t>
        </is>
      </c>
      <c r="L9" s="57" t="n">
        <v>0</v>
      </c>
      <c r="M9" s="24" t="inlineStr">
        <is>
          <t>원본 JSON 별도 저장</t>
        </is>
      </c>
    </row>
    <row r="10" ht="18" customHeight="1">
      <c r="A10" s="23" t="n">
        <v>22</v>
      </c>
      <c r="B10" s="23" t="inlineStr">
        <is>
          <t>US-COL-04</t>
        </is>
      </c>
      <c r="C10" s="62" t="inlineStr">
        <is>
          <t>Must</t>
        </is>
      </c>
      <c r="D10" s="23" t="inlineStr">
        <is>
          <t>E1 수집</t>
        </is>
      </c>
      <c r="E10" s="24" t="inlineStr">
        <is>
          <t>수신 정규화</t>
        </is>
      </c>
      <c r="F10" s="23" t="n">
        <v>2</v>
      </c>
      <c r="G10" s="23" t="inlineStr">
        <is>
          <t>S2</t>
        </is>
      </c>
      <c r="H10" s="23" t="inlineStr">
        <is>
          <t>기경현</t>
        </is>
      </c>
      <c r="I10" s="23" t="inlineStr"/>
      <c r="J10" s="24" t="inlineStr">
        <is>
          <t>US-COL-02</t>
        </is>
      </c>
      <c r="K10" s="23" t="inlineStr">
        <is>
          <t>대기</t>
        </is>
      </c>
      <c r="L10" s="57" t="n">
        <v>0</v>
      </c>
      <c r="M10" s="24" t="inlineStr">
        <is>
          <t>센티초→초</t>
        </is>
      </c>
    </row>
    <row r="11" ht="18" customHeight="1">
      <c r="A11" s="23" t="n">
        <v>23</v>
      </c>
      <c r="B11" s="23" t="inlineStr">
        <is>
          <t>US-ADM-03</t>
        </is>
      </c>
      <c r="C11" s="62" t="inlineStr">
        <is>
          <t>Must</t>
        </is>
      </c>
      <c r="D11" s="23" t="inlineStr">
        <is>
          <t>E7 계정·설정</t>
        </is>
      </c>
      <c r="E11" s="24" t="inlineStr">
        <is>
          <t>수집 대상·주기</t>
        </is>
      </c>
      <c r="F11" s="23" t="n">
        <v>3</v>
      </c>
      <c r="G11" s="23" t="inlineStr">
        <is>
          <t>S2</t>
        </is>
      </c>
      <c r="H11" s="23" t="inlineStr">
        <is>
          <t>기경현</t>
        </is>
      </c>
      <c r="I11" s="23" t="inlineStr">
        <is>
          <t>조찬희</t>
        </is>
      </c>
      <c r="J11" s="24" t="inlineStr">
        <is>
          <t>US-ADM-01</t>
        </is>
      </c>
      <c r="K11" s="23" t="inlineStr">
        <is>
          <t>대기</t>
        </is>
      </c>
      <c r="L11" s="57" t="n">
        <v>0</v>
      </c>
      <c r="M11" s="24" t="inlineStr">
        <is>
          <t>S2 최소 UI, S6 다듬기 가능</t>
        </is>
      </c>
    </row>
    <row r="12" ht="18" customHeight="1">
      <c r="A12" s="23" t="n">
        <v>24</v>
      </c>
      <c r="B12" s="23" t="inlineStr">
        <is>
          <t>US-COL-05</t>
        </is>
      </c>
      <c r="C12" s="62" t="inlineStr">
        <is>
          <t>Must</t>
        </is>
      </c>
      <c r="D12" s="23" t="inlineStr">
        <is>
          <t>E1 수집</t>
        </is>
      </c>
      <c r="E12" s="24" t="inlineStr">
        <is>
          <t>쿼터 준수</t>
        </is>
      </c>
      <c r="F12" s="23" t="n">
        <v>3</v>
      </c>
      <c r="G12" s="23" t="inlineStr">
        <is>
          <t>S2</t>
        </is>
      </c>
      <c r="H12" s="23" t="inlineStr">
        <is>
          <t>기경현</t>
        </is>
      </c>
      <c r="I12" s="23" t="inlineStr">
        <is>
          <t>조찬희</t>
        </is>
      </c>
      <c r="J12" s="24" t="inlineStr">
        <is>
          <t>US-COL-02</t>
        </is>
      </c>
      <c r="K12" s="23" t="inlineStr">
        <is>
          <t>대기</t>
        </is>
      </c>
      <c r="L12" s="57" t="n">
        <v>0</v>
      </c>
      <c r="M12" s="24" t="inlineStr">
        <is>
          <t>일 5,000 · 자르지 않음</t>
        </is>
      </c>
    </row>
    <row r="13" ht="18" customHeight="1">
      <c r="A13" s="23" t="n">
        <v>25</v>
      </c>
      <c r="B13" s="23" t="inlineStr">
        <is>
          <t>US-COL-03</t>
        </is>
      </c>
      <c r="C13" s="62" t="inlineStr">
        <is>
          <t>Must</t>
        </is>
      </c>
      <c r="D13" s="23" t="inlineStr">
        <is>
          <t>E1 수집</t>
        </is>
      </c>
      <c r="E13" s="24" t="inlineStr">
        <is>
          <t>실패 재시도</t>
        </is>
      </c>
      <c r="F13" s="23" t="n">
        <v>3</v>
      </c>
      <c r="G13" s="23" t="inlineStr">
        <is>
          <t>S3</t>
        </is>
      </c>
      <c r="H13" s="23" t="inlineStr">
        <is>
          <t>기경현</t>
        </is>
      </c>
      <c r="I13" s="23" t="inlineStr"/>
      <c r="J13" s="24" t="inlineStr">
        <is>
          <t>US-COL-02</t>
        </is>
      </c>
      <c r="K13" s="23" t="inlineStr">
        <is>
          <t>대기</t>
        </is>
      </c>
      <c r="L13" s="57" t="n">
        <v>0</v>
      </c>
      <c r="M13" s="24" t="inlineStr"/>
    </row>
    <row r="14" ht="18" customHeight="1">
      <c r="A14" s="23" t="n">
        <v>30</v>
      </c>
      <c r="B14" s="23" t="inlineStr">
        <is>
          <t>US-PLN-01</t>
        </is>
      </c>
      <c r="C14" s="62" t="inlineStr">
        <is>
          <t>Must</t>
        </is>
      </c>
      <c r="D14" s="23" t="inlineStr">
        <is>
          <t>E2 계획</t>
        </is>
      </c>
      <c r="E14" s="24" t="inlineStr">
        <is>
          <t>정규화 계획 저장</t>
        </is>
      </c>
      <c r="F14" s="23" t="n">
        <v>3</v>
      </c>
      <c r="G14" s="23" t="inlineStr">
        <is>
          <t>S3</t>
        </is>
      </c>
      <c r="H14" s="23" t="inlineStr">
        <is>
          <t>기경현</t>
        </is>
      </c>
      <c r="I14" s="23" t="inlineStr"/>
      <c r="J14" s="24" t="inlineStr">
        <is>
          <t>EN-DB-01</t>
        </is>
      </c>
      <c r="K14" s="23" t="inlineStr">
        <is>
          <t>대기</t>
        </is>
      </c>
      <c r="L14" s="57" t="n">
        <v>0</v>
      </c>
      <c r="M14" s="24" t="inlineStr"/>
    </row>
    <row r="15" ht="18" customHeight="1">
      <c r="A15" s="23" t="n">
        <v>31</v>
      </c>
      <c r="B15" s="23" t="inlineStr">
        <is>
          <t>US-PLN-03</t>
        </is>
      </c>
      <c r="C15" s="62" t="inlineStr">
        <is>
          <t>Must</t>
        </is>
      </c>
      <c r="D15" s="23" t="inlineStr">
        <is>
          <t>E2 계획</t>
        </is>
      </c>
      <c r="E15" s="24" t="inlineStr">
        <is>
          <t>승인 전 계획 대체</t>
        </is>
      </c>
      <c r="F15" s="23" t="n">
        <v>3</v>
      </c>
      <c r="G15" s="23" t="inlineStr">
        <is>
          <t>S3</t>
        </is>
      </c>
      <c r="H15" s="23" t="inlineStr">
        <is>
          <t>기경현</t>
        </is>
      </c>
      <c r="I15" s="23" t="inlineStr">
        <is>
          <t>조찬희</t>
        </is>
      </c>
      <c r="J15" s="24" t="inlineStr">
        <is>
          <t>US-PLN-01, EN-SEED-01</t>
        </is>
      </c>
      <c r="K15" s="23" t="inlineStr">
        <is>
          <t>대기</t>
        </is>
      </c>
      <c r="L15" s="57" t="n">
        <v>0</v>
      </c>
      <c r="M15" s="24" t="inlineStr">
        <is>
          <t>시드/수동/추정</t>
        </is>
      </c>
    </row>
    <row r="16" ht="18" customHeight="1">
      <c r="A16" s="23" t="n">
        <v>32</v>
      </c>
      <c r="B16" s="23" t="inlineStr">
        <is>
          <t>US-VAL-01</t>
        </is>
      </c>
      <c r="C16" s="62" t="inlineStr">
        <is>
          <t>Must</t>
        </is>
      </c>
      <c r="D16" s="23" t="inlineStr">
        <is>
          <t>E3 검지</t>
        </is>
      </c>
      <c r="E16" s="24" t="inlineStr">
        <is>
          <t>설정 기반 규칙 엔진</t>
        </is>
      </c>
      <c r="F16" s="23" t="n">
        <v>5</v>
      </c>
      <c r="G16" s="23" t="inlineStr">
        <is>
          <t>S3</t>
        </is>
      </c>
      <c r="H16" s="23" t="inlineStr">
        <is>
          <t>기경현</t>
        </is>
      </c>
      <c r="I16" s="23" t="inlineStr"/>
      <c r="J16" s="24" t="inlineStr">
        <is>
          <t>US-COL-04</t>
        </is>
      </c>
      <c r="K16" s="23" t="inlineStr">
        <is>
          <t>대기</t>
        </is>
      </c>
      <c r="L16" s="57" t="n">
        <v>0</v>
      </c>
      <c r="M16" s="24" t="inlineStr"/>
    </row>
    <row r="17" ht="18" customHeight="1">
      <c r="A17" s="23" t="n">
        <v>33</v>
      </c>
      <c r="B17" s="23" t="inlineStr">
        <is>
          <t>US-VAL-04</t>
        </is>
      </c>
      <c r="C17" s="62" t="inlineStr">
        <is>
          <t>Must</t>
        </is>
      </c>
      <c r="D17" s="23" t="inlineStr">
        <is>
          <t>E3 검지</t>
        </is>
      </c>
      <c r="E17" s="24" t="inlineStr">
        <is>
          <t>오류 등급</t>
        </is>
      </c>
      <c r="F17" s="23" t="n">
        <v>2</v>
      </c>
      <c r="G17" s="23" t="inlineStr">
        <is>
          <t>S3</t>
        </is>
      </c>
      <c r="H17" s="23" t="inlineStr">
        <is>
          <t>기경현</t>
        </is>
      </c>
      <c r="I17" s="23" t="inlineStr"/>
      <c r="J17" s="24" t="inlineStr">
        <is>
          <t>US-VAL-01</t>
        </is>
      </c>
      <c r="K17" s="23" t="inlineStr">
        <is>
          <t>대기</t>
        </is>
      </c>
      <c r="L17" s="57" t="n">
        <v>0</v>
      </c>
      <c r="M17" s="24" t="inlineStr">
        <is>
          <t>INFO~CRITICAL</t>
        </is>
      </c>
    </row>
    <row r="18" ht="18" customHeight="1">
      <c r="A18" s="23" t="n">
        <v>40</v>
      </c>
      <c r="B18" s="23" t="inlineStr">
        <is>
          <t>US-VAL-02</t>
        </is>
      </c>
      <c r="C18" s="62" t="inlineStr">
        <is>
          <t>Must</t>
        </is>
      </c>
      <c r="D18" s="23" t="inlineStr">
        <is>
          <t>E3 검지</t>
        </is>
      </c>
      <c r="E18" s="24" t="inlineStr">
        <is>
          <t>품질·일관성 검증</t>
        </is>
      </c>
      <c r="F18" s="23" t="n">
        <v>5</v>
      </c>
      <c r="G18" s="23" t="inlineStr">
        <is>
          <t>S4</t>
        </is>
      </c>
      <c r="H18" s="23" t="inlineStr">
        <is>
          <t>기경현</t>
        </is>
      </c>
      <c r="I18" s="23" t="inlineStr"/>
      <c r="J18" s="24" t="inlineStr">
        <is>
          <t>US-VAL-01</t>
        </is>
      </c>
      <c r="K18" s="23" t="inlineStr">
        <is>
          <t>대기</t>
        </is>
      </c>
      <c r="L18" s="57" t="n">
        <v>0</v>
      </c>
      <c r="M18" s="24" t="inlineStr">
        <is>
          <t>R01–R04, R07–R09, R11–R12</t>
        </is>
      </c>
    </row>
    <row r="19" ht="18" customHeight="1">
      <c r="A19" s="23" t="n">
        <v>41</v>
      </c>
      <c r="B19" s="23" t="inlineStr">
        <is>
          <t>US-VAL-03</t>
        </is>
      </c>
      <c r="C19" s="62" t="inlineStr">
        <is>
          <t>Must</t>
        </is>
      </c>
      <c r="D19" s="23" t="inlineStr">
        <is>
          <t>E3 검지</t>
        </is>
      </c>
      <c r="E19" s="24" t="inlineStr">
        <is>
          <t>계획 대비 상태 대조</t>
        </is>
      </c>
      <c r="F19" s="23" t="n">
        <v>5</v>
      </c>
      <c r="G19" s="23" t="inlineStr">
        <is>
          <t>S4</t>
        </is>
      </c>
      <c r="H19" s="23" t="inlineStr">
        <is>
          <t>기경현</t>
        </is>
      </c>
      <c r="I19" s="23" t="inlineStr"/>
      <c r="J19" s="24" t="inlineStr">
        <is>
          <t>US-VAL-01, US-PLN-03</t>
        </is>
      </c>
      <c r="K19" s="23" t="inlineStr">
        <is>
          <t>대기</t>
        </is>
      </c>
      <c r="L19" s="57" t="n">
        <v>0</v>
      </c>
      <c r="M19" s="24" t="inlineStr">
        <is>
          <t>R05, R10</t>
        </is>
      </c>
    </row>
    <row r="20" ht="18" customHeight="1">
      <c r="A20" s="23" t="n">
        <v>42</v>
      </c>
      <c r="B20" s="23" t="inlineStr">
        <is>
          <t>US-VAL-05</t>
        </is>
      </c>
      <c r="C20" s="62" t="inlineStr">
        <is>
          <t>Must</t>
        </is>
      </c>
      <c r="D20" s="23" t="inlineStr">
        <is>
          <t>E3 검지</t>
        </is>
      </c>
      <c r="E20" s="24" t="inlineStr">
        <is>
          <t>자동보정</t>
        </is>
      </c>
      <c r="F20" s="23" t="n">
        <v>5</v>
      </c>
      <c r="G20" s="23" t="inlineStr">
        <is>
          <t>S4</t>
        </is>
      </c>
      <c r="H20" s="23" t="inlineStr">
        <is>
          <t>기경현</t>
        </is>
      </c>
      <c r="I20" s="23" t="inlineStr">
        <is>
          <t>조찬희</t>
        </is>
      </c>
      <c r="J20" s="24" t="inlineStr">
        <is>
          <t>US-VAL-02</t>
        </is>
      </c>
      <c r="K20" s="23" t="inlineStr">
        <is>
          <t>대기</t>
        </is>
      </c>
      <c r="L20" s="57" t="n">
        <v>0</v>
      </c>
      <c r="M20" s="24" t="inlineStr">
        <is>
          <t>제공 계층만. 원본 불변</t>
        </is>
      </c>
    </row>
    <row r="21" ht="18" customHeight="1">
      <c r="A21" s="23" t="n">
        <v>50</v>
      </c>
      <c r="B21" s="23" t="inlineStr">
        <is>
          <t>US-VAL-06</t>
        </is>
      </c>
      <c r="C21" s="62" t="inlineStr">
        <is>
          <t>Must</t>
        </is>
      </c>
      <c r="D21" s="23" t="inlineStr">
        <is>
          <t>E3 검지</t>
        </is>
      </c>
      <c r="E21" s="24" t="inlineStr">
        <is>
          <t>이슈 생성</t>
        </is>
      </c>
      <c r="F21" s="23" t="n">
        <v>3</v>
      </c>
      <c r="G21" s="23" t="inlineStr">
        <is>
          <t>S5</t>
        </is>
      </c>
      <c r="H21" s="23" t="inlineStr">
        <is>
          <t>기경현</t>
        </is>
      </c>
      <c r="I21" s="23" t="inlineStr"/>
      <c r="J21" s="24" t="inlineStr">
        <is>
          <t>US-VAL-02</t>
        </is>
      </c>
      <c r="K21" s="23" t="inlineStr">
        <is>
          <t>대기</t>
        </is>
      </c>
      <c r="L21" s="57" t="n">
        <v>0</v>
      </c>
      <c r="M21" s="24" t="inlineStr"/>
    </row>
    <row r="22" ht="18" customHeight="1">
      <c r="A22" s="23" t="n">
        <v>51</v>
      </c>
      <c r="B22" s="23" t="inlineStr">
        <is>
          <t>US-MON-01</t>
        </is>
      </c>
      <c r="C22" s="62" t="inlineStr">
        <is>
          <t>Must</t>
        </is>
      </c>
      <c r="D22" s="23" t="inlineStr">
        <is>
          <t>E4 관제</t>
        </is>
      </c>
      <c r="E22" s="24" t="inlineStr">
        <is>
          <t>종합 대시보드</t>
        </is>
      </c>
      <c r="F22" s="23" t="n">
        <v>5</v>
      </c>
      <c r="G22" s="23" t="inlineStr">
        <is>
          <t>S5</t>
        </is>
      </c>
      <c r="H22" s="23" t="inlineStr">
        <is>
          <t>조찬희</t>
        </is>
      </c>
      <c r="I22" s="23" t="inlineStr">
        <is>
          <t>기경현</t>
        </is>
      </c>
      <c r="J22" s="24" t="inlineStr">
        <is>
          <t>US-VAL-04, US-VAL-05</t>
        </is>
      </c>
      <c r="K22" s="23" t="inlineStr">
        <is>
          <t>대기</t>
        </is>
      </c>
      <c r="L22" s="57" t="n">
        <v>0</v>
      </c>
      <c r="M22" s="24" t="inlineStr"/>
    </row>
    <row r="23" ht="18" customHeight="1">
      <c r="A23" s="23" t="n">
        <v>52</v>
      </c>
      <c r="B23" s="23" t="inlineStr">
        <is>
          <t>US-MON-03</t>
        </is>
      </c>
      <c r="C23" s="62" t="inlineStr">
        <is>
          <t>Must</t>
        </is>
      </c>
      <c r="D23" s="23" t="inlineStr">
        <is>
          <t>E4 관제</t>
        </is>
      </c>
      <c r="E23" s="24" t="inlineStr">
        <is>
          <t>오류·이슈 목록</t>
        </is>
      </c>
      <c r="F23" s="23" t="n">
        <v>3</v>
      </c>
      <c r="G23" s="23" t="inlineStr">
        <is>
          <t>S5</t>
        </is>
      </c>
      <c r="H23" s="23" t="inlineStr">
        <is>
          <t>조찬희</t>
        </is>
      </c>
      <c r="I23" s="23" t="inlineStr">
        <is>
          <t>기경현</t>
        </is>
      </c>
      <c r="J23" s="24" t="inlineStr">
        <is>
          <t>US-VAL-06</t>
        </is>
      </c>
      <c r="K23" s="23" t="inlineStr">
        <is>
          <t>대기</t>
        </is>
      </c>
      <c r="L23" s="57" t="n">
        <v>0</v>
      </c>
      <c r="M23" s="24" t="inlineStr"/>
    </row>
    <row r="24" ht="18" customHeight="1">
      <c r="A24" s="23" t="n">
        <v>53</v>
      </c>
      <c r="B24" s="23" t="inlineStr">
        <is>
          <t>US-ISS-01</t>
        </is>
      </c>
      <c r="C24" s="62" t="inlineStr">
        <is>
          <t>Must</t>
        </is>
      </c>
      <c r="D24" s="23" t="inlineStr">
        <is>
          <t>E5 통제</t>
        </is>
      </c>
      <c r="E24" s="24" t="inlineStr">
        <is>
          <t>이슈 생명주기</t>
        </is>
      </c>
      <c r="F24" s="23" t="n">
        <v>3</v>
      </c>
      <c r="G24" s="23" t="inlineStr">
        <is>
          <t>S5</t>
        </is>
      </c>
      <c r="H24" s="23" t="inlineStr">
        <is>
          <t>공동</t>
        </is>
      </c>
      <c r="I24" s="23" t="inlineStr"/>
      <c r="J24" s="24" t="inlineStr">
        <is>
          <t>US-VAL-06</t>
        </is>
      </c>
      <c r="K24" s="23" t="inlineStr">
        <is>
          <t>대기</t>
        </is>
      </c>
      <c r="L24" s="57" t="n">
        <v>0</v>
      </c>
      <c r="M24" s="24" t="inlineStr">
        <is>
          <t>초과 1SP → 화면은 상태 변경만 / S6</t>
        </is>
      </c>
    </row>
    <row r="25" ht="18" customHeight="1">
      <c r="A25" s="23" t="n">
        <v>60</v>
      </c>
      <c r="B25" s="23" t="inlineStr">
        <is>
          <t>US-PLN-05</t>
        </is>
      </c>
      <c r="C25" s="62" t="inlineStr">
        <is>
          <t>Must</t>
        </is>
      </c>
      <c r="D25" s="23" t="inlineStr">
        <is>
          <t>E2 계획</t>
        </is>
      </c>
      <c r="E25" s="24" t="inlineStr">
        <is>
          <t>계획 화면</t>
        </is>
      </c>
      <c r="F25" s="23" t="n">
        <v>3</v>
      </c>
      <c r="G25" s="23" t="inlineStr">
        <is>
          <t>S5</t>
        </is>
      </c>
      <c r="H25" s="23" t="inlineStr">
        <is>
          <t>조찬희</t>
        </is>
      </c>
      <c r="I25" s="23" t="inlineStr">
        <is>
          <t>기경현</t>
        </is>
      </c>
      <c r="J25" s="24" t="inlineStr">
        <is>
          <t>US-PLN-01</t>
        </is>
      </c>
      <c r="K25" s="23" t="inlineStr">
        <is>
          <t>대기</t>
        </is>
      </c>
      <c r="L25" s="57" t="n">
        <v>0</v>
      </c>
      <c r="M25" s="24" t="inlineStr"/>
    </row>
    <row r="26" ht="18" customHeight="1">
      <c r="A26" s="23" t="n">
        <v>61</v>
      </c>
      <c r="B26" s="23" t="inlineStr">
        <is>
          <t>US-MON-02</t>
        </is>
      </c>
      <c r="C26" s="62" t="inlineStr">
        <is>
          <t>Must</t>
        </is>
      </c>
      <c r="D26" s="23" t="inlineStr">
        <is>
          <t>E4 관제</t>
        </is>
      </c>
      <c r="E26" s="24" t="inlineStr">
        <is>
          <t>교차로 상세</t>
        </is>
      </c>
      <c r="F26" s="23" t="n">
        <v>5</v>
      </c>
      <c r="G26" s="23" t="inlineStr">
        <is>
          <t>S6</t>
        </is>
      </c>
      <c r="H26" s="23" t="inlineStr">
        <is>
          <t>조찬희</t>
        </is>
      </c>
      <c r="I26" s="23" t="inlineStr">
        <is>
          <t>기경현</t>
        </is>
      </c>
      <c r="J26" s="24" t="inlineStr">
        <is>
          <t>US-COL-02, US-VAL-04</t>
        </is>
      </c>
      <c r="K26" s="23" t="inlineStr">
        <is>
          <t>대기</t>
        </is>
      </c>
      <c r="L26" s="57" t="n">
        <v>0</v>
      </c>
      <c r="M26" s="24" t="inlineStr">
        <is>
          <t>S6 1순위 시연 Must</t>
        </is>
      </c>
    </row>
    <row r="27" ht="18" customHeight="1">
      <c r="A27" s="23" t="n">
        <v>62</v>
      </c>
      <c r="B27" s="23" t="inlineStr">
        <is>
          <t>US-CTL-05</t>
        </is>
      </c>
      <c r="C27" s="62" t="inlineStr">
        <is>
          <t>Must</t>
        </is>
      </c>
      <c r="D27" s="23" t="inlineStr">
        <is>
          <t>E5 통제</t>
        </is>
      </c>
      <c r="E27" s="24" t="inlineStr">
        <is>
          <t>원본/제공 조회</t>
        </is>
      </c>
      <c r="F27" s="23" t="n">
        <v>3</v>
      </c>
      <c r="G27" s="23" t="inlineStr">
        <is>
          <t>S6</t>
        </is>
      </c>
      <c r="H27" s="23" t="inlineStr">
        <is>
          <t>조찬희</t>
        </is>
      </c>
      <c r="I27" s="23" t="inlineStr">
        <is>
          <t>기경현</t>
        </is>
      </c>
      <c r="J27" s="24" t="inlineStr">
        <is>
          <t>US-VAL-05</t>
        </is>
      </c>
      <c r="K27" s="23" t="inlineStr">
        <is>
          <t>대기</t>
        </is>
      </c>
      <c r="L27" s="57" t="n">
        <v>0</v>
      </c>
      <c r="M27" s="24" t="inlineStr">
        <is>
          <t>S6 1순위</t>
        </is>
      </c>
    </row>
    <row r="28" ht="18" customHeight="1">
      <c r="A28" s="23" t="n">
        <v>63</v>
      </c>
      <c r="B28" s="23" t="inlineStr">
        <is>
          <t>US-CTL-01</t>
        </is>
      </c>
      <c r="C28" s="62" t="inlineStr">
        <is>
          <t>Must</t>
        </is>
      </c>
      <c r="D28" s="23" t="inlineStr">
        <is>
          <t>E5 통제</t>
        </is>
      </c>
      <c r="E28" s="24" t="inlineStr">
        <is>
          <t>정보 통제</t>
        </is>
      </c>
      <c r="F28" s="23" t="n">
        <v>3</v>
      </c>
      <c r="G28" s="23" t="inlineStr">
        <is>
          <t>S6</t>
        </is>
      </c>
      <c r="H28" s="23" t="inlineStr">
        <is>
          <t>기경현</t>
        </is>
      </c>
      <c r="I28" s="23" t="inlineStr">
        <is>
          <t>조찬희</t>
        </is>
      </c>
      <c r="J28" s="24" t="inlineStr">
        <is>
          <t>US-ISS-01, US-CTL-05</t>
        </is>
      </c>
      <c r="K28" s="23" t="inlineStr">
        <is>
          <t>대기</t>
        </is>
      </c>
      <c r="L28" s="57" t="n">
        <v>0</v>
      </c>
      <c r="M28" s="24" t="inlineStr">
        <is>
          <t>S6 1순위</t>
        </is>
      </c>
    </row>
    <row r="29" ht="18" customHeight="1">
      <c r="A29" s="23" t="n">
        <v>64</v>
      </c>
      <c r="B29" s="23" t="inlineStr">
        <is>
          <t>US-CTL-02</t>
        </is>
      </c>
      <c r="C29" s="62" t="inlineStr">
        <is>
          <t>Must</t>
        </is>
      </c>
      <c r="D29" s="23" t="inlineStr">
        <is>
          <t>E5 통제</t>
        </is>
      </c>
      <c r="E29" s="24" t="inlineStr">
        <is>
          <t>계획 통제·재검증</t>
        </is>
      </c>
      <c r="F29" s="23" t="n">
        <v>3</v>
      </c>
      <c r="G29" s="23" t="inlineStr">
        <is>
          <t>S6</t>
        </is>
      </c>
      <c r="H29" s="23" t="inlineStr">
        <is>
          <t>기경현</t>
        </is>
      </c>
      <c r="I29" s="23" t="inlineStr">
        <is>
          <t>조찬희</t>
        </is>
      </c>
      <c r="J29" s="24" t="inlineStr">
        <is>
          <t>US-PLN-05, US-ISS-01</t>
        </is>
      </c>
      <c r="K29" s="23" t="inlineStr">
        <is>
          <t>대기</t>
        </is>
      </c>
      <c r="L29" s="57" t="n">
        <v>0</v>
      </c>
      <c r="M29" s="24" t="inlineStr">
        <is>
          <t>S6 1순위</t>
        </is>
      </c>
    </row>
    <row r="30" ht="18" customHeight="1">
      <c r="A30" s="23" t="n">
        <v>65</v>
      </c>
      <c r="B30" s="23" t="inlineStr">
        <is>
          <t>US-CTL-03</t>
        </is>
      </c>
      <c r="C30" s="62" t="inlineStr">
        <is>
          <t>Must</t>
        </is>
      </c>
      <c r="D30" s="23" t="inlineStr">
        <is>
          <t>E5 통제</t>
        </is>
      </c>
      <c r="E30" s="24" t="inlineStr">
        <is>
          <t>현장 통제 요청</t>
        </is>
      </c>
      <c r="F30" s="23" t="n">
        <v>3</v>
      </c>
      <c r="G30" s="23" t="inlineStr">
        <is>
          <t>S6</t>
        </is>
      </c>
      <c r="H30" s="23" t="inlineStr">
        <is>
          <t>기경현</t>
        </is>
      </c>
      <c r="I30" s="23" t="inlineStr">
        <is>
          <t>조찬희</t>
        </is>
      </c>
      <c r="J30" s="24" t="inlineStr">
        <is>
          <t>US-ISS-01</t>
        </is>
      </c>
      <c r="K30" s="23" t="inlineStr">
        <is>
          <t>대기</t>
        </is>
      </c>
      <c r="L30" s="57" t="n">
        <v>0</v>
      </c>
      <c r="M30" s="24" t="inlineStr">
        <is>
          <t>S6 1순위 · 실전송 없음</t>
        </is>
      </c>
    </row>
    <row r="31" ht="18" customHeight="1">
      <c r="A31" s="23" t="n">
        <v>66</v>
      </c>
      <c r="B31" s="23" t="inlineStr">
        <is>
          <t>US-PLN-04</t>
        </is>
      </c>
      <c r="C31" s="62" t="inlineStr">
        <is>
          <t>Must</t>
        </is>
      </c>
      <c r="D31" s="23" t="inlineStr">
        <is>
          <t>E2 계획</t>
        </is>
      </c>
      <c r="E31" s="24" t="inlineStr">
        <is>
          <t>교차로 ID 매핑</t>
        </is>
      </c>
      <c r="F31" s="23" t="n">
        <v>3</v>
      </c>
      <c r="G31" s="23" t="inlineStr">
        <is>
          <t>S6</t>
        </is>
      </c>
      <c r="H31" s="23" t="inlineStr">
        <is>
          <t>기경현</t>
        </is>
      </c>
      <c r="I31" s="23" t="inlineStr">
        <is>
          <t>조찬희</t>
        </is>
      </c>
      <c r="J31" s="24" t="inlineStr">
        <is>
          <t>US-PLN-01</t>
        </is>
      </c>
      <c r="K31" s="23" t="inlineStr">
        <is>
          <t>대기</t>
        </is>
      </c>
      <c r="L31" s="57" t="n">
        <v>0</v>
      </c>
      <c r="M31" s="24" t="inlineStr">
        <is>
          <t>S6 2순위. 커트 6순위</t>
        </is>
      </c>
    </row>
    <row r="32" ht="18" customHeight="1">
      <c r="A32" s="23" t="n">
        <v>70</v>
      </c>
      <c r="B32" s="23" t="inlineStr">
        <is>
          <t>US-RPT-01</t>
        </is>
      </c>
      <c r="C32" s="62" t="inlineStr">
        <is>
          <t>Must</t>
        </is>
      </c>
      <c r="D32" s="23" t="inlineStr">
        <is>
          <t>E6 통계</t>
        </is>
      </c>
      <c r="E32" s="24" t="inlineStr">
        <is>
          <t>집계 통계</t>
        </is>
      </c>
      <c r="F32" s="23" t="n">
        <v>3</v>
      </c>
      <c r="G32" s="23" t="inlineStr">
        <is>
          <t>S6</t>
        </is>
      </c>
      <c r="H32" s="23" t="inlineStr">
        <is>
          <t>기경현</t>
        </is>
      </c>
      <c r="I32" s="23" t="inlineStr">
        <is>
          <t>조찬희</t>
        </is>
      </c>
      <c r="J32" s="24" t="inlineStr">
        <is>
          <t>US-VAL-06</t>
        </is>
      </c>
      <c r="K32" s="23" t="inlineStr">
        <is>
          <t>대기</t>
        </is>
      </c>
      <c r="L32" s="57" t="n">
        <v>0</v>
      </c>
      <c r="M32" s="24" t="inlineStr">
        <is>
          <t>S6 2순위</t>
        </is>
      </c>
    </row>
    <row r="33" ht="18" customHeight="1">
      <c r="A33" s="23" t="n">
        <v>71</v>
      </c>
      <c r="B33" s="23" t="inlineStr">
        <is>
          <t>US-RPT-02</t>
        </is>
      </c>
      <c r="C33" s="62" t="inlineStr">
        <is>
          <t>Must</t>
        </is>
      </c>
      <c r="D33" s="23" t="inlineStr">
        <is>
          <t>E6 통계</t>
        </is>
      </c>
      <c r="E33" s="24" t="inlineStr">
        <is>
          <t>CSV 내보내기</t>
        </is>
      </c>
      <c r="F33" s="23" t="n">
        <v>2</v>
      </c>
      <c r="G33" s="23" t="inlineStr">
        <is>
          <t>S6</t>
        </is>
      </c>
      <c r="H33" s="23" t="inlineStr">
        <is>
          <t>조찬희</t>
        </is>
      </c>
      <c r="I33" s="23" t="inlineStr">
        <is>
          <t>기경현</t>
        </is>
      </c>
      <c r="J33" s="24" t="inlineStr">
        <is>
          <t>US-RPT-01</t>
        </is>
      </c>
      <c r="K33" s="23" t="inlineStr">
        <is>
          <t>대기</t>
        </is>
      </c>
      <c r="L33" s="57" t="n">
        <v>0</v>
      </c>
      <c r="M33" s="24" t="inlineStr">
        <is>
          <t>S6 3순위 커트 5순위</t>
        </is>
      </c>
    </row>
    <row r="34" ht="18" customHeight="1">
      <c r="A34" s="23" t="n">
        <v>72</v>
      </c>
      <c r="B34" s="23" t="inlineStr">
        <is>
          <t>US-ADM-02</t>
        </is>
      </c>
      <c r="C34" s="62" t="inlineStr">
        <is>
          <t>Must</t>
        </is>
      </c>
      <c r="D34" s="23" t="inlineStr">
        <is>
          <t>E7 계정·설정</t>
        </is>
      </c>
      <c r="E34" s="24" t="inlineStr">
        <is>
          <t>계정 CRUD</t>
        </is>
      </c>
      <c r="F34" s="23" t="n">
        <v>2</v>
      </c>
      <c r="G34" s="23" t="inlineStr">
        <is>
          <t>S6</t>
        </is>
      </c>
      <c r="H34" s="23" t="inlineStr">
        <is>
          <t>조찬희</t>
        </is>
      </c>
      <c r="I34" s="23" t="inlineStr">
        <is>
          <t>기경현</t>
        </is>
      </c>
      <c r="J34" s="24" t="inlineStr">
        <is>
          <t>US-ADM-01</t>
        </is>
      </c>
      <c r="K34" s="23" t="inlineStr">
        <is>
          <t>대기</t>
        </is>
      </c>
      <c r="L34" s="57" t="n">
        <v>0</v>
      </c>
      <c r="M34" s="24" t="inlineStr">
        <is>
          <t>S6 3순위 커트 4순위</t>
        </is>
      </c>
    </row>
    <row r="35" ht="18" customHeight="1">
      <c r="A35" s="23" t="n">
        <v>73</v>
      </c>
      <c r="B35" s="23" t="inlineStr">
        <is>
          <t>US-ADM-04</t>
        </is>
      </c>
      <c r="C35" s="62" t="inlineStr">
        <is>
          <t>Must</t>
        </is>
      </c>
      <c r="D35" s="23" t="inlineStr">
        <is>
          <t>E7 계정·설정</t>
        </is>
      </c>
      <c r="E35" s="24" t="inlineStr">
        <is>
          <t>임계값 설정</t>
        </is>
      </c>
      <c r="F35" s="23" t="n">
        <v>2</v>
      </c>
      <c r="G35" s="23" t="inlineStr">
        <is>
          <t>S6</t>
        </is>
      </c>
      <c r="H35" s="23" t="inlineStr">
        <is>
          <t>조찬희</t>
        </is>
      </c>
      <c r="I35" s="23" t="inlineStr">
        <is>
          <t>기경현</t>
        </is>
      </c>
      <c r="J35" s="24" t="inlineStr">
        <is>
          <t>US-VAL-01</t>
        </is>
      </c>
      <c r="K35" s="23" t="inlineStr">
        <is>
          <t>대기</t>
        </is>
      </c>
      <c r="L35" s="57" t="n">
        <v>0</v>
      </c>
      <c r="M35" s="24" t="inlineStr">
        <is>
          <t>S6 2순위</t>
        </is>
      </c>
    </row>
    <row r="36" ht="18" customHeight="1">
      <c r="A36" s="23" t="n">
        <v>80</v>
      </c>
      <c r="B36" s="23" t="inlineStr">
        <is>
          <t>US-PLN-02</t>
        </is>
      </c>
      <c r="C36" s="56" t="inlineStr">
        <is>
          <t>Should</t>
        </is>
      </c>
      <c r="D36" s="23" t="inlineStr">
        <is>
          <t>E2 계획</t>
        </is>
      </c>
      <c r="E36" s="24" t="inlineStr">
        <is>
          <t>UTIC 계획 수집</t>
        </is>
      </c>
      <c r="F36" s="23" t="n">
        <v>5</v>
      </c>
      <c r="G36" s="23" t="inlineStr">
        <is>
          <t>조건부</t>
        </is>
      </c>
      <c r="H36" s="23" t="inlineStr">
        <is>
          <t>기경현</t>
        </is>
      </c>
      <c r="I36" s="23" t="inlineStr"/>
      <c r="J36" s="24" t="inlineStr">
        <is>
          <t>승인</t>
        </is>
      </c>
      <c r="K36" s="23" t="inlineStr">
        <is>
          <t>보류</t>
        </is>
      </c>
      <c r="L36" s="57" t="n">
        <v>0</v>
      </c>
      <c r="M36" s="24" t="inlineStr">
        <is>
          <t>승인 후 S6 또는 14주. 미승인은 결함 아님</t>
        </is>
      </c>
    </row>
    <row r="37" ht="18" customHeight="1">
      <c r="A37" s="23" t="n">
        <v>81</v>
      </c>
      <c r="B37" s="23" t="inlineStr">
        <is>
          <t>US-CTL-04</t>
        </is>
      </c>
      <c r="C37" s="56" t="inlineStr">
        <is>
          <t>Should</t>
        </is>
      </c>
      <c r="D37" s="23" t="inlineStr">
        <is>
          <t>E5 통제</t>
        </is>
      </c>
      <c r="E37" s="24" t="inlineStr">
        <is>
          <t>감시 제외</t>
        </is>
      </c>
      <c r="F37" s="23" t="n">
        <v>2</v>
      </c>
      <c r="G37" s="23" t="inlineStr">
        <is>
          <t>조건부</t>
        </is>
      </c>
      <c r="H37" s="23" t="inlineStr">
        <is>
          <t>기경현</t>
        </is>
      </c>
      <c r="I37" s="23" t="inlineStr">
        <is>
          <t>조찬희</t>
        </is>
      </c>
      <c r="J37" s="24" t="inlineStr">
        <is>
          <t>US-ISS-01</t>
        </is>
      </c>
      <c r="K37" s="23" t="inlineStr">
        <is>
          <t>보류</t>
        </is>
      </c>
      <c r="L37" s="57" t="n">
        <v>0</v>
      </c>
      <c r="M37" s="24" t="inlineStr">
        <is>
          <t>S6 여유 또는 S-T1 전. 커트 3순위</t>
        </is>
      </c>
    </row>
    <row r="38" ht="18" customHeight="1">
      <c r="A38" s="23" t="n">
        <v>90</v>
      </c>
      <c r="B38" s="23" t="inlineStr">
        <is>
          <t>US-MON-04</t>
        </is>
      </c>
      <c r="C38" s="60" t="inlineStr">
        <is>
          <t>Could</t>
        </is>
      </c>
      <c r="D38" s="23" t="inlineStr">
        <is>
          <t>E4 관제</t>
        </is>
      </c>
      <c r="E38" s="24" t="inlineStr">
        <is>
          <t>실시간 푸시</t>
        </is>
      </c>
      <c r="F38" s="23" t="n">
        <v>3</v>
      </c>
      <c r="G38" s="23" t="inlineStr">
        <is>
          <t>버퍼</t>
        </is>
      </c>
      <c r="H38" s="23" t="inlineStr">
        <is>
          <t>공동</t>
        </is>
      </c>
      <c r="I38" s="23" t="inlineStr"/>
      <c r="J38" s="24" t="inlineStr">
        <is>
          <t>Must 동결</t>
        </is>
      </c>
      <c r="K38" s="23" t="inlineStr">
        <is>
          <t>제외</t>
        </is>
      </c>
      <c r="L38" s="57" t="n">
        <v>0</v>
      </c>
      <c r="M38" s="24" t="inlineStr">
        <is>
          <t>아니면 폴링만. 커트 1순위</t>
        </is>
      </c>
    </row>
    <row r="39" ht="18" customHeight="1">
      <c r="A39" s="23" t="n">
        <v>91</v>
      </c>
      <c r="B39" s="23" t="inlineStr">
        <is>
          <t>US-MON-05</t>
        </is>
      </c>
      <c r="C39" s="60" t="inlineStr">
        <is>
          <t>Could</t>
        </is>
      </c>
      <c r="D39" s="23" t="inlineStr">
        <is>
          <t>E4 관제</t>
        </is>
      </c>
      <c r="E39" s="24" t="inlineStr">
        <is>
          <t>지도 관제</t>
        </is>
      </c>
      <c r="F39" s="23" t="n">
        <v>5</v>
      </c>
      <c r="G39" s="23" t="inlineStr">
        <is>
          <t>버퍼</t>
        </is>
      </c>
      <c r="H39" s="23" t="inlineStr">
        <is>
          <t>조찬희</t>
        </is>
      </c>
      <c r="I39" s="23" t="inlineStr"/>
      <c r="J39" s="24" t="inlineStr">
        <is>
          <t>15주 여유</t>
        </is>
      </c>
      <c r="K39" s="23" t="inlineStr">
        <is>
          <t>제외</t>
        </is>
      </c>
      <c r="L39" s="57" t="n">
        <v>0</v>
      </c>
      <c r="M39" s="24" t="inlineStr">
        <is>
          <t>미포함은 결함 아님. 커트 1순위</t>
        </is>
      </c>
    </row>
  </sheetData>
  <autoFilter ref="A1:M39"/>
  <conditionalFormatting sqref="K2:K39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conditionalFormatting sqref="L2:L39">
    <cfRule type="cellIs" priority="6" operator="equal" dxfId="0">
      <formula>1</formula>
    </cfRule>
    <cfRule type="cellIs" priority="7" operator="between" dxfId="11">
      <formula>0.01</formula>
      <formula>0.99</formula>
    </cfRule>
  </conditionalFormatting>
  <dataValidations count="2">
    <dataValidation sqref="K2:K39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  <dataValidation sqref="L2:L39" showDropDown="0" showInputMessage="0" showErrorMessage="0" allowBlank="1" errorTitle="진행률" error="0~100% 사이 값을 입력하세요." type="decimal" operator="between">
      <formula1>0</formula1>
      <formula2>1</formula2>
    </dataValidation>
  </dataValidations>
  <printOptions gridLines="0"/>
  <pageMargins left="0.4" right="0.4" top="0.6" bottom="0.5" header="0.25" footer="0.25"/>
  <pageSetup orientation="landscape" paperSize="9" fitToHeight="0" fitToWidth="1"/>
  <headerFooter>
    <oddHeader>&amp;L&amp;8제품백로그&amp;R&amp;8Signal Guard · 백로그WBS v1.0</oddHeader>
    <oddFooter>&amp;L&amp;8수업용 MVP · 작성 2026-09-12&amp;R&amp;8&amp;P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3A8F"/>
    <outlinePr summaryBelow="1" summaryRight="1"/>
    <pageSetUpPr fitToPage="1"/>
  </sheetPr>
  <dimension ref="A1:K14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8" customWidth="1" min="4" max="4"/>
    <col width="10" customWidth="1" min="5" max="5"/>
    <col width="24" customWidth="1" min="6" max="6"/>
    <col width="28" customWidth="1" min="7" max="7"/>
    <col width="42" customWidth="1" min="8" max="8"/>
    <col width="44" customWidth="1" min="9" max="9"/>
    <col width="10" customWidth="1" min="10" max="10"/>
    <col width="12" customWidth="1" min="11" max="11"/>
  </cols>
  <sheetData>
    <row r="1" ht="22" customHeight="1">
      <c r="A1" s="3" t="inlineStr">
        <is>
          <t>스프린트</t>
        </is>
      </c>
      <c r="B1" s="3" t="inlineStr">
        <is>
          <t>주차</t>
        </is>
      </c>
      <c r="C1" s="3" t="inlineStr">
        <is>
          <t>단계</t>
        </is>
      </c>
      <c r="D1" s="3" t="inlineStr">
        <is>
          <t>목표</t>
        </is>
      </c>
      <c r="E1" s="3" t="inlineStr">
        <is>
          <t>Must SP</t>
        </is>
      </c>
      <c r="F1" s="3" t="inlineStr">
        <is>
          <t>조찬희</t>
        </is>
      </c>
      <c r="G1" s="3" t="inlineStr">
        <is>
          <t>기경현</t>
        </is>
      </c>
      <c r="H1" s="3" t="inlineStr">
        <is>
          <t>커밋 항목</t>
        </is>
      </c>
      <c r="I1" s="3" t="inlineStr">
        <is>
          <t>완료 시 데모</t>
        </is>
      </c>
      <c r="J1" s="3" t="inlineStr">
        <is>
          <t>상태</t>
        </is>
      </c>
      <c r="K1" s="3" t="inlineStr">
        <is>
          <t>실제완료SP</t>
        </is>
      </c>
    </row>
    <row r="2" ht="36" customHeight="1">
      <c r="A2" s="23" t="inlineStr">
        <is>
          <t>S0</t>
        </is>
      </c>
      <c r="B2" s="23" t="inlineStr">
        <is>
          <t>1–3</t>
        </is>
      </c>
      <c r="C2" s="23" t="inlineStr">
        <is>
          <t>분석</t>
        </is>
      </c>
      <c r="D2" s="24" t="inlineStr">
        <is>
          <t>분석 산출물 고정</t>
        </is>
      </c>
      <c r="E2" s="23" t="n"/>
      <c r="F2" s="24" t="inlineStr">
        <is>
          <t>문서 주도</t>
        </is>
      </c>
      <c r="G2" s="24" t="inlineStr">
        <is>
          <t>데이터·RFP</t>
        </is>
      </c>
      <c r="H2" s="24" t="inlineStr">
        <is>
          <t>정의서 4종 + 백로그WBS</t>
        </is>
      </c>
      <c r="I2" s="24" t="inlineStr">
        <is>
          <t>범위·UC/US·본 백로그가 저장소에 있다</t>
        </is>
      </c>
      <c r="J2" s="58" t="inlineStr">
        <is>
          <t>완료</t>
        </is>
      </c>
      <c r="K2" s="63">
        <f>SUMIFS(제품백로그!F:F,제품백로그!G:G,A2,제품백로그!K:K,"완료")</f>
        <v/>
      </c>
    </row>
    <row r="3" ht="36" customHeight="1">
      <c r="A3" s="23" t="inlineStr">
        <is>
          <t>S-D1</t>
        </is>
      </c>
      <c r="B3" s="23" t="inlineStr">
        <is>
          <t>4</t>
        </is>
      </c>
      <c r="C3" s="23" t="inlineStr">
        <is>
          <t>설계</t>
        </is>
      </c>
      <c r="D3" s="24" t="inlineStr">
        <is>
          <t>스택·IA·ERD 초안</t>
        </is>
      </c>
      <c r="E3" s="23" t="n"/>
      <c r="F3" s="24" t="inlineStr">
        <is>
          <t>화면 IA·와이어</t>
        </is>
      </c>
      <c r="G3" s="24" t="inlineStr">
        <is>
          <t>아키텍처·ERD</t>
        </is>
      </c>
      <c r="H3" s="24" t="inlineStr">
        <is>
          <t>3.1–3.4</t>
        </is>
      </c>
      <c r="I3" s="24" t="inlineStr">
        <is>
          <t>스택 후보·화면 6개·ERD 초안</t>
        </is>
      </c>
      <c r="J3" s="23" t="inlineStr">
        <is>
          <t>대기</t>
        </is>
      </c>
      <c r="K3" s="63">
        <f>SUMIFS(제품백로그!F:F,제품백로그!G:G,A3,제품백로그!K:K,"완료")</f>
        <v/>
      </c>
    </row>
    <row r="4" ht="36" customHeight="1">
      <c r="A4" s="23" t="inlineStr">
        <is>
          <t>S-D2</t>
        </is>
      </c>
      <c r="B4" s="23" t="inlineStr">
        <is>
          <t>5</t>
        </is>
      </c>
      <c r="C4" s="23" t="inlineStr">
        <is>
          <t>설계</t>
        </is>
      </c>
      <c r="D4" s="24" t="inlineStr">
        <is>
          <t>API·규칙·프로토타입, 미결 확정</t>
        </is>
      </c>
      <c r="E4" s="23" t="n"/>
      <c r="F4" s="24" t="inlineStr">
        <is>
          <t>프로토타입 3화면</t>
        </is>
      </c>
      <c r="G4" s="24" t="inlineStr">
        <is>
          <t>API·규칙 명세</t>
        </is>
      </c>
      <c r="H4" s="24" t="inlineStr">
        <is>
          <t>3.5–3.8</t>
        </is>
      </c>
      <c r="I4" s="24" t="inlineStr">
        <is>
          <t>주 5 말 게이트: 스택·표본·계획 대체·푸시/지도·임계 기본값</t>
        </is>
      </c>
      <c r="J4" s="23" t="inlineStr">
        <is>
          <t>대기</t>
        </is>
      </c>
      <c r="K4" s="63">
        <f>SUMIFS(제품백로그!F:F,제품백로그!G:G,A4,제품백로그!K:K,"완료")</f>
        <v/>
      </c>
    </row>
    <row r="5" ht="36" customHeight="1">
      <c r="A5" s="64" t="inlineStr">
        <is>
          <t>S1</t>
        </is>
      </c>
      <c r="B5" s="23" t="inlineStr">
        <is>
          <t>6</t>
        </is>
      </c>
      <c r="C5" s="23" t="inlineStr">
        <is>
          <t>구현</t>
        </is>
      </c>
      <c r="D5" s="24" t="inlineStr">
        <is>
          <t>기동·로그인</t>
        </is>
      </c>
      <c r="E5" s="23" t="n">
        <v>3</v>
      </c>
      <c r="F5" s="24" t="inlineStr">
        <is>
          <t>셸, 로그인 UI</t>
        </is>
      </c>
      <c r="G5" s="24" t="inlineStr">
        <is>
          <t>환경, DB, API, 시드</t>
        </is>
      </c>
      <c r="H5" s="24" t="inlineStr">
        <is>
          <t>EN-ENV/DB/API/SEED/FE, US-ADM-01</t>
        </is>
      </c>
      <c r="I5" s="24" t="inlineStr">
        <is>
          <t>관리자/운영자 로그인, 운영자는 설정 메뉴 없음</t>
        </is>
      </c>
      <c r="J5" s="23" t="inlineStr">
        <is>
          <t>대기</t>
        </is>
      </c>
      <c r="K5" s="63">
        <f>SUMIFS(제품백로그!F:F,제품백로그!G:G,A5,제품백로그!K:K,"완료")</f>
        <v/>
      </c>
    </row>
    <row r="6" ht="36" customHeight="1">
      <c r="A6" s="64" t="inlineStr">
        <is>
          <t>S2</t>
        </is>
      </c>
      <c r="B6" s="23" t="inlineStr">
        <is>
          <t>7</t>
        </is>
      </c>
      <c r="C6" s="23" t="inlineStr">
        <is>
          <t>구현</t>
        </is>
      </c>
      <c r="D6" s="24" t="inlineStr">
        <is>
          <t>인천 수집이 DB에 쌓인다</t>
        </is>
      </c>
      <c r="E6" s="23" t="n">
        <v>16</v>
      </c>
      <c r="F6" s="24" t="inlineStr">
        <is>
          <t>대상 설정·쿼터 표시</t>
        </is>
      </c>
      <c r="G6" s="24" t="inlineStr">
        <is>
          <t>COL-01,02,04,05, ADM-03 API</t>
        </is>
      </c>
      <c r="H6" s="24" t="inlineStr">
        <is>
          <t>US-COL-01/02/04/05, US-ADM-03 (16SP)</t>
        </is>
      </c>
      <c r="I6" s="24" t="inlineStr">
        <is>
          <t>표본 상태가 주기적으로 쌓이고 원본이 별도 저장된다</t>
        </is>
      </c>
      <c r="J6" s="23" t="inlineStr">
        <is>
          <t>대기</t>
        </is>
      </c>
      <c r="K6" s="63">
        <f>SUMIFS(제품백로그!F:F,제품백로그!G:G,A6,제품백로그!K:K,"완료")</f>
        <v/>
      </c>
    </row>
    <row r="7" ht="36" customHeight="1">
      <c r="A7" s="64" t="inlineStr">
        <is>
          <t>S3</t>
        </is>
      </c>
      <c r="B7" s="23" t="inlineStr">
        <is>
          <t>8</t>
        </is>
      </c>
      <c r="C7" s="23" t="inlineStr">
        <is>
          <t>구현</t>
        </is>
      </c>
      <c r="D7" s="24" t="inlineStr">
        <is>
          <t>시드 계획 + 엔진이 돈다</t>
        </is>
      </c>
      <c r="E7" s="23" t="n">
        <v>16</v>
      </c>
      <c r="F7" s="24" t="inlineStr">
        <is>
          <t>계획 조회 초안, 대시보드 레이아웃</t>
        </is>
      </c>
      <c r="G7" s="24" t="inlineStr">
        <is>
          <t>COL-03, PLN-01,03, VAL-01,04</t>
        </is>
      </c>
      <c r="H7" s="24" t="inlineStr">
        <is>
          <t>US-COL-03, PLN-01/03, VAL-01/04 (16SP)</t>
        </is>
      </c>
      <c r="I7" s="24" t="inlineStr">
        <is>
          <t>시드 계획이 붙은 교차로에서 엔진이 등급을 남긴다</t>
        </is>
      </c>
      <c r="J7" s="23" t="inlineStr">
        <is>
          <t>대기</t>
        </is>
      </c>
      <c r="K7" s="63">
        <f>SUMIFS(제품백로그!F:F,제품백로그!G:G,A7,제품백로그!K:K,"완료")</f>
        <v/>
      </c>
    </row>
    <row r="8" ht="36" customHeight="1">
      <c r="A8" s="64" t="inlineStr">
        <is>
          <t>S4</t>
        </is>
      </c>
      <c r="B8" s="23" t="inlineStr">
        <is>
          <t>9</t>
        </is>
      </c>
      <c r="C8" s="23" t="inlineStr">
        <is>
          <t>구현</t>
        </is>
      </c>
      <c r="D8" s="24" t="inlineStr">
        <is>
          <t>규칙이 오류를 가른다</t>
        </is>
      </c>
      <c r="E8" s="23" t="n">
        <v>15</v>
      </c>
      <c r="F8" s="24" t="inlineStr">
        <is>
          <t>목록 목업→실데이터</t>
        </is>
      </c>
      <c r="G8" s="24" t="inlineStr">
        <is>
          <t>VAL-02,03,05</t>
        </is>
      </c>
      <c r="H8" s="24" t="inlineStr">
        <is>
          <t>US-VAL-02/03/05 (15SP)</t>
        </is>
      </c>
      <c r="I8" s="24" t="inlineStr">
        <is>
          <t>급변·중복·계획 불일치가 이슈 또는 보정으로 갈리고 원본은 그대로다</t>
        </is>
      </c>
      <c r="J8" s="23" t="inlineStr">
        <is>
          <t>대기</t>
        </is>
      </c>
      <c r="K8" s="63">
        <f>SUMIFS(제품백로그!F:F,제품백로그!G:G,A8,제품백로그!K:K,"완료")</f>
        <v/>
      </c>
    </row>
    <row r="9" ht="36" customHeight="1">
      <c r="A9" s="64" t="inlineStr">
        <is>
          <t>S5</t>
        </is>
      </c>
      <c r="B9" s="23" t="inlineStr">
        <is>
          <t>10</t>
        </is>
      </c>
      <c r="C9" s="23" t="inlineStr">
        <is>
          <t>구현</t>
        </is>
      </c>
      <c r="D9" s="24" t="inlineStr">
        <is>
          <t>대시보드에서 이슈를 본다</t>
        </is>
      </c>
      <c r="E9" s="23" t="n">
        <v>17</v>
      </c>
      <c r="F9" s="24" t="inlineStr">
        <is>
          <t>MON-01,03, PLN-05</t>
        </is>
      </c>
      <c r="G9" s="24" t="inlineStr">
        <is>
          <t>VAL-06, ISS-01 API</t>
        </is>
      </c>
      <c r="H9" s="24" t="inlineStr">
        <is>
          <t>US-VAL-06, MON-01/03, ISS-01, PLN-05 (17SP)</t>
        </is>
      </c>
      <c r="I9" s="24" t="inlineStr">
        <is>
          <t>오류 수·자동보정·미처리 이슈, 목록에서 ACK. ISS UI는 축소 가능</t>
        </is>
      </c>
      <c r="J9" s="23" t="inlineStr">
        <is>
          <t>대기</t>
        </is>
      </c>
      <c r="K9" s="63">
        <f>SUMIFS(제품백로그!F:F,제품백로그!G:G,A9,제품백로그!K:K,"완료")</f>
        <v/>
      </c>
    </row>
    <row r="10" ht="36" customHeight="1">
      <c r="A10" s="64" t="inlineStr">
        <is>
          <t>S6</t>
        </is>
      </c>
      <c r="B10" s="23" t="inlineStr">
        <is>
          <t>11</t>
        </is>
      </c>
      <c r="C10" s="23" t="inlineStr">
        <is>
          <t>구현</t>
        </is>
      </c>
      <c r="D10" s="24" t="inlineStr">
        <is>
          <t>통제·통계·설정으로 MVP 동결</t>
        </is>
      </c>
      <c r="E10" s="23" t="n">
        <v>29</v>
      </c>
      <c r="F10" s="24" t="inlineStr">
        <is>
          <t>상세·통제 UI·CSV</t>
        </is>
      </c>
      <c r="G10" s="24" t="inlineStr">
        <is>
          <t>CTL API, 집계, 매핑</t>
        </is>
      </c>
      <c r="H10" s="24" t="inlineStr">
        <is>
          <t>1순위 MON-02, CTL-05/01/02/03 · 2순위 RPT-01, PLN-04, ADM-04 · 3순위 커트</t>
        </is>
      </c>
      <c r="I10" s="24" t="inlineStr">
        <is>
          <t>관리자 차단·계획 수정·현장 요청, 운영자 거부, 원본/제공 병기. 금요일 기능 동결</t>
        </is>
      </c>
      <c r="J10" s="23" t="inlineStr">
        <is>
          <t>대기</t>
        </is>
      </c>
      <c r="K10" s="63">
        <f>SUMIFS(제품백로그!F:F,제품백로그!G:G,A10,제품백로그!K:K,"완료")</f>
        <v/>
      </c>
    </row>
    <row r="11" ht="36" customHeight="1">
      <c r="A11" s="23" t="inlineStr">
        <is>
          <t>S-T1</t>
        </is>
      </c>
      <c r="B11" s="23" t="inlineStr">
        <is>
          <t>12</t>
        </is>
      </c>
      <c r="C11" s="23" t="inlineStr">
        <is>
          <t>테스트</t>
        </is>
      </c>
      <c r="D11" s="24" t="inlineStr">
        <is>
          <t>케이스 실행</t>
        </is>
      </c>
      <c r="E11" s="23" t="n"/>
      <c r="F11" s="24" t="inlineStr">
        <is>
          <t>E2E·계획서</t>
        </is>
      </c>
      <c r="G11" s="24" t="inlineStr">
        <is>
          <t>단위·API</t>
        </is>
      </c>
      <c r="H11" s="24" t="inlineStr">
        <is>
          <t>5.1–5.4</t>
        </is>
      </c>
      <c r="I11" s="24" t="inlineStr">
        <is>
          <t>필수 스토리 테스트 착수</t>
        </is>
      </c>
      <c r="J11" s="23" t="inlineStr">
        <is>
          <t>대기</t>
        </is>
      </c>
      <c r="K11" s="63">
        <f>SUMIFS(제품백로그!F:F,제품백로그!G:G,A11,제품백로그!K:K,"완료")</f>
        <v/>
      </c>
    </row>
    <row r="12" ht="36" customHeight="1">
      <c r="A12" s="23" t="inlineStr">
        <is>
          <t>S-T2</t>
        </is>
      </c>
      <c r="B12" s="23" t="inlineStr">
        <is>
          <t>13</t>
        </is>
      </c>
      <c r="C12" s="23" t="inlineStr">
        <is>
          <t>테스트</t>
        </is>
      </c>
      <c r="D12" s="24" t="inlineStr">
        <is>
          <t>성능·보안, 치명 0</t>
        </is>
      </c>
      <c r="E12" s="23" t="n"/>
      <c r="F12" s="24" t="inlineStr">
        <is>
          <t>회귀</t>
        </is>
      </c>
      <c r="G12" s="24" t="inlineStr">
        <is>
          <t>결함</t>
        </is>
      </c>
      <c r="H12" s="24" t="inlineStr">
        <is>
          <t>5.5–5.7</t>
        </is>
      </c>
      <c r="I12" s="24" t="inlineStr">
        <is>
          <t>필수 100%, 치명/주요 0 (NFR-QUR-003)</t>
        </is>
      </c>
      <c r="J12" s="23" t="inlineStr">
        <is>
          <t>대기</t>
        </is>
      </c>
      <c r="K12" s="63">
        <f>SUMIFS(제품백로그!F:F,제품백로그!G:G,A12,제품백로그!K:K,"완료")</f>
        <v/>
      </c>
    </row>
    <row r="13" ht="36" customHeight="1">
      <c r="A13" s="23" t="inlineStr">
        <is>
          <t>S-R1</t>
        </is>
      </c>
      <c r="B13" s="23" t="inlineStr">
        <is>
          <t>14</t>
        </is>
      </c>
      <c r="C13" s="23" t="inlineStr">
        <is>
          <t>안정화</t>
        </is>
      </c>
      <c r="D13" s="24" t="inlineStr">
        <is>
          <t>매뉴얼·설치</t>
        </is>
      </c>
      <c r="E13" s="23" t="n"/>
      <c r="F13" s="24" t="inlineStr">
        <is>
          <t>매뉴얼</t>
        </is>
      </c>
      <c r="G13" s="24" t="inlineStr">
        <is>
          <t>설치 가이드</t>
        </is>
      </c>
      <c r="H13" s="24" t="inlineStr">
        <is>
          <t>6.1–6.3</t>
        </is>
      </c>
      <c r="I13" s="24" t="inlineStr">
        <is>
          <t>동결 빌드 + 재설치 절차</t>
        </is>
      </c>
      <c r="J13" s="23" t="inlineStr">
        <is>
          <t>대기</t>
        </is>
      </c>
      <c r="K13" s="63">
        <f>SUMIFS(제품백로그!F:F,제품백로그!G:G,A13,제품백로그!K:K,"완료")</f>
        <v/>
      </c>
    </row>
    <row r="14" ht="36" customHeight="1">
      <c r="A14" s="23" t="inlineStr">
        <is>
          <t>S-R2</t>
        </is>
      </c>
      <c r="B14" s="23" t="inlineStr">
        <is>
          <t>15</t>
        </is>
      </c>
      <c r="C14" s="23" t="inlineStr">
        <is>
          <t>안정화</t>
        </is>
      </c>
      <c r="D14" s="24" t="inlineStr">
        <is>
          <t>시연·발표</t>
        </is>
      </c>
      <c r="E14" s="23" t="n"/>
      <c r="F14" s="24" t="inlineStr">
        <is>
          <t>발표·시연 대본</t>
        </is>
      </c>
      <c r="G14" s="24" t="inlineStr">
        <is>
          <t>재설치 검증</t>
        </is>
      </c>
      <c r="H14" s="24" t="inlineStr">
        <is>
          <t>6.4–6.6</t>
        </is>
      </c>
      <c r="I14" s="24" t="inlineStr">
        <is>
          <t>시연 시나리오 5.1~5.4 성공</t>
        </is>
      </c>
      <c r="J14" s="23" t="inlineStr">
        <is>
          <t>대기</t>
        </is>
      </c>
      <c r="K14" s="63">
        <f>SUMIFS(제품백로그!F:F,제품백로그!G:G,A14,제품백로그!K:K,"완료")</f>
        <v/>
      </c>
    </row>
  </sheetData>
  <autoFilter ref="A1:K14"/>
  <conditionalFormatting sqref="J2:J14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dataValidations count="1">
    <dataValidation sqref="J2:J14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</dataValidations>
  <printOptions gridLines="0"/>
  <pageMargins left="0.4" right="0.4" top="0.6" bottom="0.5" header="0.25" footer="0.25"/>
  <pageSetup orientation="landscape" paperSize="9" fitToHeight="0" fitToWidth="1"/>
  <headerFooter>
    <oddHeader>&amp;L&amp;8스프린트&amp;R&amp;8Signal Guard · 백로그WBS v1.0</oddHeader>
    <oddFooter>&amp;L&amp;8수업용 MVP · 작성 2026-09-12&amp;R&amp;8&amp;P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G8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48" customWidth="1" min="4" max="4"/>
    <col width="10" customWidth="1" min="5" max="5"/>
    <col width="14" customWidth="1" min="6" max="6"/>
    <col width="28" customWidth="1" min="7" max="7"/>
  </cols>
  <sheetData>
    <row r="1" ht="22" customHeight="1">
      <c r="A1" s="3" t="inlineStr">
        <is>
          <t>ID</t>
        </is>
      </c>
      <c r="B1" s="3" t="inlineStr">
        <is>
          <t>주차</t>
        </is>
      </c>
      <c r="C1" s="3" t="inlineStr">
        <is>
          <t>이름</t>
        </is>
      </c>
      <c r="D1" s="3" t="inlineStr">
        <is>
          <t>통과 조건</t>
        </is>
      </c>
      <c r="E1" s="3" t="inlineStr">
        <is>
          <t>상태</t>
        </is>
      </c>
      <c r="F1" s="3" t="inlineStr">
        <is>
          <t>실적일</t>
        </is>
      </c>
      <c r="G1" s="3" t="inlineStr">
        <is>
          <t>비고</t>
        </is>
      </c>
    </row>
    <row r="2" ht="22" customHeight="1">
      <c r="A2" s="23" t="inlineStr">
        <is>
          <t>M1</t>
        </is>
      </c>
      <c r="B2" s="23" t="n">
        <v>3</v>
      </c>
      <c r="C2" s="24" t="inlineStr">
        <is>
          <t>분석 완료</t>
        </is>
      </c>
      <c r="D2" s="24" t="inlineStr">
        <is>
          <t>정의서 4종 + 백로그WBS</t>
        </is>
      </c>
      <c r="E2" s="23" t="inlineStr">
        <is>
          <t>완료</t>
        </is>
      </c>
      <c r="F2" s="25" t="n">
        <v>46277</v>
      </c>
      <c r="G2" s="24" t="inlineStr">
        <is>
          <t>2026-09-12 산출물 고정</t>
        </is>
      </c>
    </row>
    <row r="3" ht="22" customHeight="1">
      <c r="A3" s="23" t="inlineStr">
        <is>
          <t>M2</t>
        </is>
      </c>
      <c r="B3" s="23" t="n">
        <v>5</v>
      </c>
      <c r="C3" s="24" t="inlineStr">
        <is>
          <t>설계 완료</t>
        </is>
      </c>
      <c r="D3" s="24" t="inlineStr">
        <is>
          <t>스택·ERD·API·규칙·화면, 미결 확정</t>
        </is>
      </c>
      <c r="E3" s="23" t="inlineStr">
        <is>
          <t>대기</t>
        </is>
      </c>
      <c r="F3" s="25" t="n"/>
      <c r="G3" s="24" t="inlineStr">
        <is>
          <t>S1 시작 게이트</t>
        </is>
      </c>
    </row>
    <row r="4" ht="22" customHeight="1">
      <c r="A4" s="23" t="inlineStr">
        <is>
          <t>M3</t>
        </is>
      </c>
      <c r="B4" s="23" t="n">
        <v>7</v>
      </c>
      <c r="C4" s="24" t="inlineStr">
        <is>
          <t>수집 수직 슬라이스</t>
        </is>
      </c>
      <c r="D4" s="24" t="inlineStr">
        <is>
          <t>실API 또는 픽스처로 원본/정규화가 쌓임</t>
        </is>
      </c>
      <c r="E4" s="23" t="inlineStr">
        <is>
          <t>대기</t>
        </is>
      </c>
      <c r="F4" s="25" t="n"/>
      <c r="G4" s="24" t="inlineStr">
        <is>
          <t>S2 말</t>
        </is>
      </c>
    </row>
    <row r="5" ht="22" customHeight="1">
      <c r="A5" s="23" t="inlineStr">
        <is>
          <t>M4</t>
        </is>
      </c>
      <c r="B5" s="23" t="n">
        <v>9</v>
      </c>
      <c r="C5" s="24" t="inlineStr">
        <is>
          <t>검지 데모</t>
        </is>
      </c>
      <c r="D5" s="24" t="inlineStr">
        <is>
          <t>R 다수 + 자동보정/이슈 분기, 원본 불변</t>
        </is>
      </c>
      <c r="E5" s="23" t="inlineStr">
        <is>
          <t>대기</t>
        </is>
      </c>
      <c r="F5" s="25" t="n"/>
      <c r="G5" s="24" t="inlineStr">
        <is>
          <t>S4 말</t>
        </is>
      </c>
    </row>
    <row r="6" ht="22" customHeight="1">
      <c r="A6" s="23" t="inlineStr">
        <is>
          <t>M5</t>
        </is>
      </c>
      <c r="B6" s="23" t="n">
        <v>11</v>
      </c>
      <c r="C6" s="24" t="inlineStr">
        <is>
          <t>MVP 기능 동결</t>
        </is>
      </c>
      <c r="D6" s="24" t="inlineStr">
        <is>
          <t>시연 Must 스토리 Done. 이후 신규 Must 없음</t>
        </is>
      </c>
      <c r="E6" s="23" t="inlineStr">
        <is>
          <t>대기</t>
        </is>
      </c>
      <c r="F6" s="25" t="n"/>
      <c r="G6" s="24" t="inlineStr">
        <is>
          <t>S6 금요일</t>
        </is>
      </c>
    </row>
    <row r="7" ht="22" customHeight="1">
      <c r="A7" s="23" t="inlineStr">
        <is>
          <t>M6</t>
        </is>
      </c>
      <c r="B7" s="23" t="n">
        <v>13</v>
      </c>
      <c r="C7" s="24" t="inlineStr">
        <is>
          <t>시험 완료</t>
        </is>
      </c>
      <c r="D7" s="24" t="inlineStr">
        <is>
          <t>필수 테스트 100%, 치명/주요 0</t>
        </is>
      </c>
      <c r="E7" s="23" t="inlineStr">
        <is>
          <t>대기</t>
        </is>
      </c>
      <c r="F7" s="25" t="n"/>
      <c r="G7" s="24" t="inlineStr">
        <is>
          <t>S-T2 말</t>
        </is>
      </c>
    </row>
    <row r="8" ht="22" customHeight="1">
      <c r="A8" s="23" t="inlineStr">
        <is>
          <t>M7</t>
        </is>
      </c>
      <c r="B8" s="23" t="n">
        <v>15</v>
      </c>
      <c r="C8" s="24" t="inlineStr">
        <is>
          <t>인도</t>
        </is>
      </c>
      <c r="D8" s="24" t="inlineStr">
        <is>
          <t>재설치·시연·발표</t>
        </is>
      </c>
      <c r="E8" s="23" t="inlineStr">
        <is>
          <t>대기</t>
        </is>
      </c>
      <c r="F8" s="25" t="n"/>
      <c r="G8" s="24" t="inlineStr">
        <is>
          <t>S-R2 말</t>
        </is>
      </c>
    </row>
  </sheetData>
  <autoFilter ref="A1:G8"/>
  <conditionalFormatting sqref="E2:E8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dataValidations count="1">
    <dataValidation sqref="E2:E8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</dataValidations>
  <printOptions gridLines="0"/>
  <pageMargins left="0.4" right="0.4" top="0.6" bottom="0.5" header="0.25" footer="0.25"/>
  <pageSetup orientation="portrait" paperSize="9" fitToHeight="0" fitToWidth="1"/>
  <headerFooter>
    <oddHeader>&amp;L&amp;8마일스톤&amp;R&amp;8Signal Guard · 백로그WBS v1.0</oddHeader>
    <oddFooter>&amp;L&amp;8수업용 MVP · 작성 2026-09-12&amp;R&amp;8&amp;P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9C2A2A"/>
    <outlinePr summaryBelow="1" summaryRight="1"/>
    <pageSetUpPr fitToPage="1"/>
  </sheetPr>
  <dimension ref="A1:G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22" customWidth="1" min="4" max="4"/>
    <col width="10" customWidth="1" min="5" max="5"/>
    <col width="10" customWidth="1" min="6" max="6"/>
    <col width="28" customWidth="1" min="7" max="7"/>
  </cols>
  <sheetData>
    <row r="1" ht="22" customHeight="1">
      <c r="A1" s="3" t="inlineStr">
        <is>
          <t>위험</t>
        </is>
      </c>
      <c r="B1" s="3" t="inlineStr">
        <is>
          <t>영향</t>
        </is>
      </c>
      <c r="C1" s="3" t="inlineStr">
        <is>
          <t>완화</t>
        </is>
      </c>
      <c r="D1" s="3" t="inlineStr">
        <is>
          <t>버퍼</t>
        </is>
      </c>
      <c r="E1" s="3" t="inlineStr">
        <is>
          <t>상태</t>
        </is>
      </c>
      <c r="F1" s="3" t="inlineStr">
        <is>
          <t>담당</t>
        </is>
      </c>
      <c r="G1" s="3" t="inlineStr">
        <is>
          <t>비고</t>
        </is>
      </c>
    </row>
    <row r="2" ht="32" customHeight="1">
      <c r="A2" s="24" t="inlineStr">
        <is>
          <t>UTIC 미승인</t>
        </is>
      </c>
      <c r="B2" s="24" t="inlineStr">
        <is>
          <t>실제 TOD 없음 → 계획 대조 약화</t>
        </is>
      </c>
      <c r="C2" s="24" t="inlineStr">
        <is>
          <t>US-PLN-03 시드/수동. US-PLN-02 커밋 안 함</t>
        </is>
      </c>
      <c r="D2" s="24" t="inlineStr">
        <is>
          <t>Should로 격리</t>
        </is>
      </c>
      <c r="E2" s="23" t="inlineStr">
        <is>
          <t>진행중</t>
        </is>
      </c>
      <c r="F2" s="23" t="inlineStr">
        <is>
          <t>기경현</t>
        </is>
      </c>
      <c r="G2" s="24" t="inlineStr">
        <is>
          <t>현재 승인 대기</t>
        </is>
      </c>
    </row>
    <row r="3" ht="32" customHeight="1">
      <c r="A3" s="24" t="inlineStr">
        <is>
          <t>API 쿼터·504</t>
        </is>
      </c>
      <c r="B3" s="24" t="inlineStr">
        <is>
          <t>수집 공백, 시연 실패</t>
        </is>
      </c>
      <c r="C3" s="24" t="inlineStr">
        <is>
          <t>쿼터 가드, 픽스처 시연, UI 타이머</t>
        </is>
      </c>
      <c r="D3" s="24" t="inlineStr">
        <is>
          <t>S2에서 픽스처 경로 유지</t>
        </is>
      </c>
      <c r="E3" s="23" t="inlineStr">
        <is>
          <t>대기</t>
        </is>
      </c>
      <c r="F3" s="23" t="inlineStr">
        <is>
          <t>기경현</t>
        </is>
      </c>
      <c r="G3" s="24" t="inlineStr">
        <is>
          <t>일 5,000건</t>
        </is>
      </c>
    </row>
    <row r="4" ht="32" customHeight="1">
      <c r="A4" s="24" t="inlineStr">
        <is>
          <t>S6 용량 초과</t>
        </is>
      </c>
      <c r="B4" s="24" t="inlineStr">
        <is>
          <t>통제 미완, 시연 공백</t>
        </is>
      </c>
      <c r="C4" s="24" t="inlineStr">
        <is>
          <t>3.5 커트. 시연 Must 5개 우선</t>
        </is>
      </c>
      <c r="D4" s="24" t="inlineStr">
        <is>
          <t>12주 잔여 1주</t>
        </is>
      </c>
      <c r="E4" s="23" t="inlineStr">
        <is>
          <t>대기</t>
        </is>
      </c>
      <c r="F4" s="23" t="inlineStr">
        <is>
          <t>조찬희</t>
        </is>
      </c>
      <c r="G4" s="24" t="inlineStr">
        <is>
          <t>S6 Must ≈29SP / 용량 16</t>
        </is>
      </c>
    </row>
    <row r="5" ht="32" customHeight="1">
      <c r="A5" s="24" t="inlineStr">
        <is>
          <t>스택 미확정</t>
        </is>
      </c>
      <c r="B5" s="24" t="inlineStr">
        <is>
          <t>S1 지연</t>
        </is>
      </c>
      <c r="C5" s="24" t="inlineStr">
        <is>
          <t>5주 게이트에서 강제 결정</t>
        </is>
      </c>
      <c r="D5" s="24" t="inlineStr">
        <is>
          <t>S-D2</t>
        </is>
      </c>
      <c r="E5" s="23" t="inlineStr">
        <is>
          <t>대기</t>
        </is>
      </c>
      <c r="F5" s="23" t="inlineStr">
        <is>
          <t>공동</t>
        </is>
      </c>
      <c r="G5" s="24" t="inlineStr">
        <is>
          <t>React/Vue, Spring/Node</t>
        </is>
      </c>
    </row>
    <row r="6" ht="32" customHeight="1">
      <c r="A6" s="24" t="inlineStr">
        <is>
          <t>규칙 범위 과다</t>
        </is>
      </c>
      <c r="B6" s="24" t="inlineStr">
        <is>
          <t>S4 지연</t>
        </is>
      </c>
      <c r="C6" s="24" t="inlineStr">
        <is>
          <t>R06, R03, R08, R10을 먼저</t>
        </is>
      </c>
      <c r="D6" s="24" t="inlineStr">
        <is>
          <t>4.4.7</t>
        </is>
      </c>
      <c r="E6" s="23" t="inlineStr">
        <is>
          <t>대기</t>
        </is>
      </c>
      <c r="F6" s="23" t="inlineStr">
        <is>
          <t>기경현</t>
        </is>
      </c>
      <c r="G6" s="24" t="inlineStr"/>
    </row>
    <row r="7" ht="32" customHeight="1">
      <c r="A7" s="24" t="inlineStr">
        <is>
          <t>2인 병목 (BE)</t>
        </is>
      </c>
      <c r="B7" s="24" t="inlineStr">
        <is>
          <t>FE 대기</t>
        </is>
      </c>
      <c r="C7" s="24" t="inlineStr">
        <is>
          <t>S3부터 목업 API, 시드로 화면 진행</t>
        </is>
      </c>
      <c r="D7" s="24" t="inlineStr">
        <is>
          <t>EN-SEED</t>
        </is>
      </c>
      <c r="E7" s="23" t="inlineStr">
        <is>
          <t>대기</t>
        </is>
      </c>
      <c r="F7" s="23" t="inlineStr">
        <is>
          <t>공동</t>
        </is>
      </c>
      <c r="G7" s="24" t="inlineStr">
        <is>
          <t>S2는 BE 편중 → FE는 설정·쿼터·레이아웃</t>
        </is>
      </c>
    </row>
  </sheetData>
  <autoFilter ref="A1:G7"/>
  <conditionalFormatting sqref="E2:E7">
    <cfRule type="cellIs" priority="1" operator="equal" dxfId="0">
      <formula>"완료"</formula>
    </cfRule>
    <cfRule type="cellIs" priority="2" operator="equal" dxfId="1">
      <formula>"진행중"</formula>
    </cfRule>
    <cfRule type="cellIs" priority="3" operator="equal" dxfId="2">
      <formula>"대기"</formula>
    </cfRule>
    <cfRule type="cellIs" priority="4" operator="equal" dxfId="3">
      <formula>"보류"</formula>
    </cfRule>
    <cfRule type="cellIs" priority="5" operator="equal" dxfId="4">
      <formula>"제외"</formula>
    </cfRule>
  </conditionalFormatting>
  <dataValidations count="1">
    <dataValidation sqref="E2:E7" showDropDown="0" showInputMessage="0" showErrorMessage="0" allowBlank="1" errorTitle="상태" error="대기 / 진행중 / 완료 / 보류 / 제외 중 하나를 고르세요." promptTitle="진행 상태" prompt="상태를 선택하세요." type="list">
      <formula1>"대기,진행중,완료,보류,제외"</formula1>
    </dataValidation>
  </dataValidations>
  <printOptions gridLines="0"/>
  <pageMargins left="0.4" right="0.4" top="0.6" bottom="0.5" header="0.25" footer="0.25"/>
  <pageSetup orientation="landscape" paperSize="9" fitToHeight="0" fitToWidth="1"/>
  <headerFooter>
    <oddHeader>&amp;L&amp;8위험&amp;R&amp;8Signal Guard · 백로그WBS v1.0</oddHeader>
    <oddFooter>&amp;L&amp;8수업용 MVP · 작성 2026-09-12&amp;R&amp;8&amp;P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88888"/>
    <outlinePr summaryBelow="1" summaryRight="1"/>
    <pageSetUpPr fitToPage="1"/>
  </sheetPr>
  <dimension ref="A1:H42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65" t="inlineStr">
        <is>
          <t>집계 (대시보드·차트 원본). 직접 편집하지 말고 WBS/백로그 상태를 바꾸세요.</t>
        </is>
      </c>
    </row>
    <row r="3">
      <c r="A3" s="66" t="inlineStr">
        <is>
          <t>단계별 인일</t>
        </is>
      </c>
    </row>
    <row r="8">
      <c r="A8" s="3" t="inlineStr">
        <is>
          <t>단계</t>
        </is>
      </c>
      <c r="B8" s="3" t="inlineStr">
        <is>
          <t>계획인일</t>
        </is>
      </c>
      <c r="C8" s="3" t="inlineStr">
        <is>
          <t>획득인일</t>
        </is>
      </c>
      <c r="D8" s="3" t="inlineStr">
        <is>
          <t>진척률</t>
        </is>
      </c>
      <c r="E8" s="3" t="inlineStr">
        <is>
          <t>완료건</t>
        </is>
      </c>
      <c r="F8" s="3" t="inlineStr">
        <is>
          <t>전체건</t>
        </is>
      </c>
    </row>
    <row r="9">
      <c r="A9" s="24" t="inlineStr">
        <is>
          <t>프로젝트 관리</t>
        </is>
      </c>
      <c r="B9" s="55">
        <f>SUMIFS(WBS!E:E,WBS!B:B,A9,WBS!K:K,"&lt;&gt;제외")</f>
        <v/>
      </c>
      <c r="C9" s="55">
        <f>SUMIFS(WBS!E:E,WBS!B:B,A9,WBS!K:K,"완료")+SUMPRODUCT((WBS!$B$2:$B$200=A9)*(WBS!$K$2:$K$200="진행중")*(WBS!$E$2:$E$200)*(WBS!$L$2:$L$200))</f>
        <v/>
      </c>
      <c r="D9" s="57">
        <f>IF(A9="","",IF(B9=0,0,C9/B9))</f>
        <v/>
      </c>
      <c r="E9" s="23">
        <f>COUNTIFS(WBS!B:B,A9,WBS!K:K,"완료")</f>
        <v/>
      </c>
      <c r="F9" s="23">
        <f>COUNTIFS(WBS!B:B,A9,WBS!K:K,"&lt;&gt;제외")</f>
        <v/>
      </c>
    </row>
    <row r="10">
      <c r="A10" s="24" t="inlineStr">
        <is>
          <t>분석</t>
        </is>
      </c>
      <c r="B10" s="55">
        <f>SUMIFS(WBS!E:E,WBS!B:B,A10,WBS!K:K,"&lt;&gt;제외")</f>
        <v/>
      </c>
      <c r="C10" s="55">
        <f>SUMIFS(WBS!E:E,WBS!B:B,A10,WBS!K:K,"완료")+SUMPRODUCT((WBS!$B$2:$B$200=A10)*(WBS!$K$2:$K$200="진행중")*(WBS!$E$2:$E$200)*(WBS!$L$2:$L$200))</f>
        <v/>
      </c>
      <c r="D10" s="57">
        <f>IF(A10="","",IF(B10=0,0,C10/B10))</f>
        <v/>
      </c>
      <c r="E10" s="23">
        <f>COUNTIFS(WBS!B:B,A10,WBS!K:K,"완료")</f>
        <v/>
      </c>
      <c r="F10" s="23">
        <f>COUNTIFS(WBS!B:B,A10,WBS!K:K,"&lt;&gt;제외")</f>
        <v/>
      </c>
    </row>
    <row r="11">
      <c r="A11" s="24" t="inlineStr">
        <is>
          <t>설계</t>
        </is>
      </c>
      <c r="B11" s="55">
        <f>SUMIFS(WBS!E:E,WBS!B:B,A11,WBS!K:K,"&lt;&gt;제외")</f>
        <v/>
      </c>
      <c r="C11" s="55">
        <f>SUMIFS(WBS!E:E,WBS!B:B,A11,WBS!K:K,"완료")+SUMPRODUCT((WBS!$B$2:$B$200=A11)*(WBS!$K$2:$K$200="진행중")*(WBS!$E$2:$E$200)*(WBS!$L$2:$L$200))</f>
        <v/>
      </c>
      <c r="D11" s="57">
        <f>IF(A11="","",IF(B11=0,0,C11/B11))</f>
        <v/>
      </c>
      <c r="E11" s="23">
        <f>COUNTIFS(WBS!B:B,A11,WBS!K:K,"완료")</f>
        <v/>
      </c>
      <c r="F11" s="23">
        <f>COUNTIFS(WBS!B:B,A11,WBS!K:K,"&lt;&gt;제외")</f>
        <v/>
      </c>
    </row>
    <row r="12">
      <c r="A12" s="24" t="inlineStr">
        <is>
          <t>구현</t>
        </is>
      </c>
      <c r="B12" s="55">
        <f>SUMIFS(WBS!E:E,WBS!B:B,A12,WBS!K:K,"&lt;&gt;제외")</f>
        <v/>
      </c>
      <c r="C12" s="55">
        <f>SUMIFS(WBS!E:E,WBS!B:B,A12,WBS!K:K,"완료")+SUMPRODUCT((WBS!$B$2:$B$200=A12)*(WBS!$K$2:$K$200="진행중")*(WBS!$E$2:$E$200)*(WBS!$L$2:$L$200))</f>
        <v/>
      </c>
      <c r="D12" s="57">
        <f>IF(A12="","",IF(B12=0,0,C12/B12))</f>
        <v/>
      </c>
      <c r="E12" s="23">
        <f>COUNTIFS(WBS!B:B,A12,WBS!K:K,"완료")</f>
        <v/>
      </c>
      <c r="F12" s="23">
        <f>COUNTIFS(WBS!B:B,A12,WBS!K:K,"&lt;&gt;제외")</f>
        <v/>
      </c>
    </row>
    <row r="13">
      <c r="A13" s="24" t="inlineStr">
        <is>
          <t>테스트</t>
        </is>
      </c>
      <c r="B13" s="55">
        <f>SUMIFS(WBS!E:E,WBS!B:B,A13,WBS!K:K,"&lt;&gt;제외")</f>
        <v/>
      </c>
      <c r="C13" s="55">
        <f>SUMIFS(WBS!E:E,WBS!B:B,A13,WBS!K:K,"완료")+SUMPRODUCT((WBS!$B$2:$B$200=A13)*(WBS!$K$2:$K$200="진행중")*(WBS!$E$2:$E$200)*(WBS!$L$2:$L$200))</f>
        <v/>
      </c>
      <c r="D13" s="57">
        <f>IF(A13="","",IF(B13=0,0,C13/B13))</f>
        <v/>
      </c>
      <c r="E13" s="23">
        <f>COUNTIFS(WBS!B:B,A13,WBS!K:K,"완료")</f>
        <v/>
      </c>
      <c r="F13" s="23">
        <f>COUNTIFS(WBS!B:B,A13,WBS!K:K,"&lt;&gt;제외")</f>
        <v/>
      </c>
    </row>
    <row r="14">
      <c r="A14" s="24" t="inlineStr">
        <is>
          <t>안정화·인도</t>
        </is>
      </c>
      <c r="B14" s="55">
        <f>SUMIFS(WBS!E:E,WBS!B:B,A14,WBS!K:K,"&lt;&gt;제외")</f>
        <v/>
      </c>
      <c r="C14" s="55">
        <f>SUMIFS(WBS!E:E,WBS!B:B,A14,WBS!K:K,"완료")+SUMPRODUCT((WBS!$B$2:$B$200=A14)*(WBS!$K$2:$K$200="진행중")*(WBS!$E$2:$E$200)*(WBS!$L$2:$L$200))</f>
        <v/>
      </c>
      <c r="D14" s="57">
        <f>IF(A14="","",IF(B14=0,0,C14/B14))</f>
        <v/>
      </c>
      <c r="E14" s="23">
        <f>COUNTIFS(WBS!B:B,A14,WBS!K:K,"완료")</f>
        <v/>
      </c>
      <c r="F14" s="23">
        <f>COUNTIFS(WBS!B:B,A14,WBS!K:K,"&lt;&gt;제외")</f>
        <v/>
      </c>
    </row>
    <row r="16">
      <c r="A16" s="67">
        <f>SUMIF(제품백로그!C:C,"Must",제품백로그!F:F)</f>
        <v/>
      </c>
      <c r="B16" s="68">
        <f>SUMIFS(제품백로그!F:F,제품백로그!C:C,"Must",제품백로그!K:K,"완료")+SUMPRODUCT((제품백로그!$C$2:$C$80="Must")*(제품백로그!$K$2:$K$80="진행중")*(제품백로그!$F$2:$F$80)*(제품백로그!$L$2:$L$80))</f>
        <v/>
      </c>
      <c r="C16" s="69">
        <f>IF(A16=0,0,B16/A16)</f>
        <v/>
      </c>
      <c r="D16" s="54" t="inlineStr">
        <is>
          <t>Must SP (계획 / 획득 / 진척)</t>
        </is>
      </c>
    </row>
    <row r="18">
      <c r="A18" t="inlineStr">
        <is>
          <t>EN SP 합(참고, 속도에 흡수)</t>
        </is>
      </c>
      <c r="B18">
        <f>SUMIF(제품백로그!C:C,"EN",제품백로그!F:F)</f>
        <v/>
      </c>
      <c r="C18">
        <f>SUMIFS(제품백로그!F:F,제품백로그!C:C,"EN",제품백로그!K:K,"완료")</f>
        <v/>
      </c>
    </row>
    <row r="20">
      <c r="A20" s="70">
        <f>SUM(B9:B14)</f>
        <v/>
      </c>
      <c r="B20" s="70">
        <f>SUM(C9:C14)</f>
        <v/>
      </c>
      <c r="C20" s="71">
        <f>IF(A20=0,0,B20/A20)</f>
        <v/>
      </c>
      <c r="D20" t="inlineStr">
        <is>
          <t>전체 인일</t>
        </is>
      </c>
    </row>
    <row r="23">
      <c r="A23" s="66" t="inlineStr">
        <is>
          <t>스프린트 Must SP 계획</t>
        </is>
      </c>
      <c r="E23" s="66" t="inlineStr">
        <is>
          <t>담당별 Must+EN SP (주 담당)</t>
        </is>
      </c>
    </row>
    <row r="24">
      <c r="A24" s="3" t="inlineStr">
        <is>
          <t>스프린트</t>
        </is>
      </c>
      <c r="B24" s="3" t="inlineStr">
        <is>
          <t>계획SP</t>
        </is>
      </c>
      <c r="C24" s="3" t="inlineStr">
        <is>
          <t>완료SP</t>
        </is>
      </c>
      <c r="E24" s="72" t="inlineStr">
        <is>
          <t>담당</t>
        </is>
      </c>
      <c r="F24" s="72" t="inlineStr">
        <is>
          <t>SP</t>
        </is>
      </c>
    </row>
    <row r="25">
      <c r="A25" s="23" t="inlineStr">
        <is>
          <t>S1</t>
        </is>
      </c>
      <c r="B25" s="23">
        <f>IFERROR(INDEX(스프린트!E:E,MATCH(A25,스프린트!A:A,0)),0)</f>
        <v/>
      </c>
      <c r="C25" s="23">
        <f>SUMIFS(제품백로그!F:F,제품백로그!G:G,A25,제품백로그!K:K,"완료")</f>
        <v/>
      </c>
      <c r="E25" s="23" t="inlineStr">
        <is>
          <t>조찬희</t>
        </is>
      </c>
      <c r="F25" s="23">
        <f>SUMIFS(제품백로그!F:F,제품백로그!H:H,E25,제품백로그!C:C,"&lt;&gt;Could",제품백로그!C:C,"&lt;&gt;Should")</f>
        <v/>
      </c>
    </row>
    <row r="26">
      <c r="A26" s="23" t="inlineStr">
        <is>
          <t>S2</t>
        </is>
      </c>
      <c r="B26" s="23">
        <f>IFERROR(INDEX(스프린트!E:E,MATCH(A26,스프린트!A:A,0)),0)</f>
        <v/>
      </c>
      <c r="C26" s="23">
        <f>SUMIFS(제품백로그!F:F,제품백로그!G:G,A26,제품백로그!K:K,"완료")</f>
        <v/>
      </c>
      <c r="E26" s="23" t="inlineStr">
        <is>
          <t>기경현</t>
        </is>
      </c>
      <c r="F26" s="23">
        <f>SUMIFS(제품백로그!F:F,제품백로그!H:H,E26,제품백로그!C:C,"&lt;&gt;Could",제품백로그!C:C,"&lt;&gt;Should")</f>
        <v/>
      </c>
    </row>
    <row r="27">
      <c r="A27" s="23" t="inlineStr">
        <is>
          <t>S3</t>
        </is>
      </c>
      <c r="B27" s="23">
        <f>IFERROR(INDEX(스프린트!E:E,MATCH(A27,스프린트!A:A,0)),0)</f>
        <v/>
      </c>
      <c r="C27" s="23">
        <f>SUMIFS(제품백로그!F:F,제품백로그!G:G,A27,제품백로그!K:K,"완료")</f>
        <v/>
      </c>
      <c r="E27" s="23" t="inlineStr">
        <is>
          <t>공동</t>
        </is>
      </c>
      <c r="F27" s="23">
        <f>SUMIFS(제품백로그!F:F,제품백로그!H:H,E27,제품백로그!C:C,"&lt;&gt;Could",제품백로그!C:C,"&lt;&gt;Should")</f>
        <v/>
      </c>
    </row>
    <row r="28">
      <c r="A28" s="23" t="inlineStr">
        <is>
          <t>S4</t>
        </is>
      </c>
      <c r="B28" s="23">
        <f>IFERROR(INDEX(스프린트!E:E,MATCH(A28,스프린트!A:A,0)),0)</f>
        <v/>
      </c>
      <c r="C28" s="23">
        <f>SUMIFS(제품백로그!F:F,제품백로그!G:G,A28,제품백로그!K:K,"완료")</f>
        <v/>
      </c>
    </row>
    <row r="29">
      <c r="A29" s="23" t="inlineStr">
        <is>
          <t>S5</t>
        </is>
      </c>
      <c r="B29" s="23">
        <f>IFERROR(INDEX(스프린트!E:E,MATCH(A29,스프린트!A:A,0)),0)</f>
        <v/>
      </c>
      <c r="C29" s="23">
        <f>SUMIFS(제품백로그!F:F,제품백로그!G:G,A29,제품백로그!K:K,"완료")</f>
        <v/>
      </c>
    </row>
    <row r="30">
      <c r="A30" s="23" t="inlineStr">
        <is>
          <t>S6</t>
        </is>
      </c>
      <c r="B30" s="23">
        <f>IFERROR(INDEX(스프린트!E:E,MATCH(A30,스프린트!A:A,0)),0)</f>
        <v/>
      </c>
      <c r="C30" s="23">
        <f>SUMIFS(제품백로그!F:F,제품백로그!G:G,A30,제품백로그!K:K,"완료")</f>
        <v/>
      </c>
    </row>
    <row r="31">
      <c r="A31" t="inlineStr">
        <is>
          <t>용량</t>
        </is>
      </c>
      <c r="B31" t="n">
        <v>16</v>
      </c>
      <c r="C31" t="inlineStr">
        <is>
          <t>주당 16 SP</t>
        </is>
      </c>
    </row>
    <row r="33">
      <c r="A33" s="66" t="inlineStr">
        <is>
          <t>에픽별 Must SP</t>
        </is>
      </c>
    </row>
    <row r="34">
      <c r="A34" s="72" t="inlineStr">
        <is>
          <t>에픽</t>
        </is>
      </c>
      <c r="B34" s="72" t="inlineStr">
        <is>
          <t>계획SP</t>
        </is>
      </c>
      <c r="C34" s="72" t="inlineStr">
        <is>
          <t>완료SP</t>
        </is>
      </c>
    </row>
    <row r="35">
      <c r="A35" s="73" t="inlineStr">
        <is>
          <t>E1 수집</t>
        </is>
      </c>
      <c r="B35" s="73">
        <f>SUMIFS(제품백로그!F:F,제품백로그!D:D,A35,제품백로그!C:C,"Must")+SUMIFS(제품백로그!F:F,제품백로그!D:D,A35,제품백로그!C:C,"EN")</f>
        <v/>
      </c>
      <c r="C35" s="73">
        <f>SUMIFS(제품백로그!F:F,제품백로그!D:D,A35,제품백로그!K:K,"완료")</f>
        <v/>
      </c>
    </row>
    <row r="36">
      <c r="A36" s="73" t="inlineStr">
        <is>
          <t>E2 계획</t>
        </is>
      </c>
      <c r="B36" s="73">
        <f>SUMIFS(제품백로그!F:F,제품백로그!D:D,A36,제품백로그!C:C,"Must")+SUMIFS(제품백로그!F:F,제품백로그!D:D,A36,제품백로그!C:C,"EN")</f>
        <v/>
      </c>
      <c r="C36" s="73">
        <f>SUMIFS(제품백로그!F:F,제품백로그!D:D,A36,제품백로그!K:K,"완료")</f>
        <v/>
      </c>
    </row>
    <row r="37">
      <c r="A37" s="73" t="inlineStr">
        <is>
          <t>E3 검지</t>
        </is>
      </c>
      <c r="B37" s="73">
        <f>SUMIFS(제품백로그!F:F,제품백로그!D:D,A37,제품백로그!C:C,"Must")+SUMIFS(제품백로그!F:F,제품백로그!D:D,A37,제품백로그!C:C,"EN")</f>
        <v/>
      </c>
      <c r="C37" s="73">
        <f>SUMIFS(제품백로그!F:F,제품백로그!D:D,A37,제품백로그!K:K,"완료")</f>
        <v/>
      </c>
    </row>
    <row r="38">
      <c r="A38" s="73" t="inlineStr">
        <is>
          <t>E4 관제</t>
        </is>
      </c>
      <c r="B38" s="73">
        <f>SUMIFS(제품백로그!F:F,제품백로그!D:D,A38,제품백로그!C:C,"Must")+SUMIFS(제품백로그!F:F,제품백로그!D:D,A38,제품백로그!C:C,"EN")</f>
        <v/>
      </c>
      <c r="C38" s="73">
        <f>SUMIFS(제품백로그!F:F,제품백로그!D:D,A38,제품백로그!K:K,"완료")</f>
        <v/>
      </c>
    </row>
    <row r="39">
      <c r="A39" s="73" t="inlineStr">
        <is>
          <t>E5 통제</t>
        </is>
      </c>
      <c r="B39" s="73">
        <f>SUMIFS(제품백로그!F:F,제품백로그!D:D,A39,제품백로그!C:C,"Must")+SUMIFS(제품백로그!F:F,제품백로그!D:D,A39,제품백로그!C:C,"EN")</f>
        <v/>
      </c>
      <c r="C39" s="73">
        <f>SUMIFS(제품백로그!F:F,제품백로그!D:D,A39,제품백로그!K:K,"완료")</f>
        <v/>
      </c>
    </row>
    <row r="40">
      <c r="A40" s="73" t="inlineStr">
        <is>
          <t>E6 통계</t>
        </is>
      </c>
      <c r="B40" s="73">
        <f>SUMIFS(제품백로그!F:F,제품백로그!D:D,A40,제품백로그!C:C,"Must")+SUMIFS(제품백로그!F:F,제품백로그!D:D,A40,제품백로그!C:C,"EN")</f>
        <v/>
      </c>
      <c r="C40" s="73">
        <f>SUMIFS(제품백로그!F:F,제품백로그!D:D,A40,제품백로그!K:K,"완료")</f>
        <v/>
      </c>
    </row>
    <row r="41">
      <c r="A41" s="73" t="inlineStr">
        <is>
          <t>E7 계정·설정</t>
        </is>
      </c>
      <c r="B41" s="73">
        <f>SUMIFS(제품백로그!F:F,제품백로그!D:D,A41,제품백로그!C:C,"Must")+SUMIFS(제품백로그!F:F,제품백로그!D:D,A41,제품백로그!C:C,"EN")</f>
        <v/>
      </c>
      <c r="C41" s="73">
        <f>SUMIFS(제품백로그!F:F,제품백로그!D:D,A41,제품백로그!K:K,"완료")</f>
        <v/>
      </c>
    </row>
    <row r="42">
      <c r="A42" s="73" t="inlineStr">
        <is>
          <t>기반</t>
        </is>
      </c>
      <c r="B42" s="73">
        <f>SUMIFS(제품백로그!F:F,제품백로그!D:D,A42,제품백로그!C:C,"Must")+SUMIFS(제품백로그!F:F,제품백로그!D:D,A42,제품백로그!C:C,"EN")</f>
        <v/>
      </c>
      <c r="C42" s="73">
        <f>SUMIFS(제품백로그!F:F,제품백로그!D:D,A42,제품백로그!K:K,"완료")</f>
        <v/>
      </c>
    </row>
  </sheetData>
  <mergeCells count="1">
    <mergeCell ref="A1:H1"/>
  </mergeCells>
  <printOptions gridLines="0"/>
  <pageMargins left="0.4" right="0.4" top="0.6" bottom="0.5" header="0.25" footer="0.25"/>
  <pageSetup orientation="landscape" paperSize="9" fitToHeight="0" fitToWidth="1"/>
  <headerFooter>
    <oddHeader>&amp;L&amp;8집계&amp;R&amp;8Signal Guard · 백로그WBS v1.0</oddHeader>
    <oddFooter>&amp;L&amp;8수업용 MVP · 작성 2026-09-12&amp;R&amp;8&amp;P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2026-09-12T07:27:17Z</dcterms:created>
  <dcterms:modified xmlns:dcterms="http://purl.org/dc/terms/" xmlns:xsi="http://www.w3.org/2001/XMLSchema-instance" xsi:type="dcterms:W3CDTF">2026-09-12T07:27:18Z</dcterms:modified>
</cp:coreProperties>
</file>