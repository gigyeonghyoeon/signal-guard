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lrud\project\신호 이상 탐지\분석\"/>
    </mc:Choice>
  </mc:AlternateContent>
  <xr:revisionPtr revIDLastSave="0" documentId="13_ncr:1_{3A529C74-E286-4ACF-9A9B-F27BE958BBC0}" xr6:coauthVersionLast="47" xr6:coauthVersionMax="47" xr10:uidLastSave="{00000000-0000-0000-0000-000000000000}"/>
  <bookViews>
    <workbookView xWindow="1848" yWindow="0" windowWidth="17712" windowHeight="12240" activeTab="4" xr2:uid="{00000000-000D-0000-FFFF-FFFF00000000}"/>
  </bookViews>
  <sheets>
    <sheet name="요약" sheetId="1" r:id="rId1"/>
    <sheet name="요구사항 목록" sheetId="2" r:id="rId2"/>
    <sheet name="검증 규칙" sheetId="3" r:id="rId3"/>
    <sheet name="화면 목록" sheetId="4" r:id="rId4"/>
    <sheet name="인터페이스" sheetId="5" r:id="rId5"/>
    <sheet name="목록값" sheetId="6" state="hidden" r:id="rId6"/>
  </sheets>
  <definedNames>
    <definedName name="_xlnm._FilterDatabase" localSheetId="2" hidden="1">'검증 규칙'!$A$5:$I$17</definedName>
    <definedName name="_xlnm._FilterDatabase" localSheetId="1" hidden="1">'요구사항 목록'!$A$5:$M$54</definedName>
    <definedName name="_xlnm._FilterDatabase" localSheetId="4" hidden="1">인터페이스!$A$5:$I$8</definedName>
    <definedName name="_xlnm._FilterDatabase" localSheetId="3" hidden="1">'화면 목록'!$A$5:$I$14</definedName>
  </definedNames>
  <calcPr calcId="181029"/>
</workbook>
</file>

<file path=xl/calcChain.xml><?xml version="1.0" encoding="utf-8"?>
<calcChain xmlns="http://schemas.openxmlformats.org/spreadsheetml/2006/main"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Signal Guard</author>
  </authors>
  <commentList>
    <comment ref="D5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요구사항정의서 기준. FR은 기능, NFR은 비기능.</t>
        </r>
      </text>
    </comment>
    <comment ref="E5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요구사항정의서 1.5. 필수 / 중요 / 선택.</t>
        </r>
      </text>
    </comment>
    <comment ref="F5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상: 핵심 경로이거나 한 스프린트 규모. 중: 수 일. 하: 하루 이내. 스토리 크기와 규칙·화면 연동을 보고 부여.</t>
        </r>
      </text>
    </comment>
    <comment ref="J5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요구사항 정의서 최초 작성일. 이후 추가된 항목은 등록한 날짜를 적는다.</t>
        </r>
      </text>
    </comment>
    <comment ref="K5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내용이 바뀐 날짜. 바뀌기 전에는 비워 둔다.</t>
        </r>
      </text>
    </comment>
    <comment ref="L5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끝내기로 한 날짜.</t>
        </r>
      </text>
    </comment>
    <comment ref="M5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실제로 끝난 날짜. 비어 있으면 미완료.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Signal Guard</author>
  </authors>
  <commentList>
    <comment ref="D5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요구사항정의서 6.5.1. 검증 규칙은 모두 필수.</t>
        </r>
      </text>
    </comment>
    <comment ref="E5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상: 계획·현시 모델을 봐야 하는 규칙. 중: 임계·분기. 하: 필드 존재·중복 제거.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Signal Guard</author>
  </authors>
  <commentList>
    <comment ref="D5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연결된 주요 요구가 필수이므로 화면은 모두 필수로 둔다.</t>
        </r>
      </text>
    </comment>
    <comment ref="E5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상: 지표·8방향·이슈 통제가 한 화면에 있음. 중: 입력·조회가 같이 있음. 하: 조회 또는 단순 CRUD.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Signal Guard</author>
  </authors>
  <commentList>
    <comment ref="E5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상: 데이터 종류가 많거나 API 면 전체가 대상. 중: 승인된 실시간 API 두 개.</t>
        </r>
      </text>
    </comment>
  </commentList>
</comments>
</file>

<file path=xl/sharedStrings.xml><?xml version="1.0" encoding="utf-8"?>
<sst xmlns="http://schemas.openxmlformats.org/spreadsheetml/2006/main" count="648" uniqueCount="364">
  <si>
    <t>인터페이스</t>
  </si>
  <si>
    <t>외부/내부 연동의 관리 대상</t>
  </si>
  <si>
    <t>ID</t>
  </si>
  <si>
    <t>우선순위</t>
  </si>
  <si>
    <t>인증</t>
  </si>
  <si>
    <t>설명</t>
  </si>
  <si>
    <t>난이도</t>
  </si>
  <si>
    <t>등록일</t>
  </si>
  <si>
    <t>변경일</t>
  </si>
  <si>
    <t>완료예정일</t>
  </si>
  <si>
    <t>완료일</t>
  </si>
  <si>
    <t>IF-EXT-001</t>
  </si>
  <si>
    <t>필수</t>
  </si>
  <si>
    <t>`/crsrd_map_info`, `/tl_drct_info`</t>
  </si>
  <si>
    <t>중</t>
  </si>
  <si>
    <t>IF-EXT-002</t>
  </si>
  <si>
    <t>중요 (승인 의존)</t>
  </si>
  <si>
    <t>승인 후 엔드포인트를 명세에 맞춰 확정하고 일 1회 적재한다. 승인 전에는 FR-PLN-003이 대체한다.</t>
  </si>
  <si>
    <t>상</t>
  </si>
  <si>
    <t>IF-INT-001</t>
  </si>
  <si>
    <t>웹 클라이언트는 REST API로 인증, 대시보드 지표, 교차로 상세, 이슈, 통계, 설정을 조회·변경한다. 실시간 푸시는 선택(웹소켓).</t>
  </si>
  <si>
    <t>설계 단계 API 명세서의 엔드포인트가 본 기능 요구사항을 모두 커버한다. 권한 없는 메서드는 거부된다.</t>
  </si>
  <si>
    <t>Signal Guard 요구사항 정의서</t>
  </si>
  <si>
    <t>문서명</t>
  </si>
  <si>
    <t>실시간 교통신호 상태정보 오류검지 시스템 요구사항 정의서</t>
  </si>
  <si>
    <t>프로젝트</t>
  </si>
  <si>
    <t>Signal Guard</t>
  </si>
  <si>
    <t>버전</t>
  </si>
  <si>
    <t>1.2</t>
  </si>
  <si>
    <t>작성일</t>
  </si>
  <si>
    <t>요구사항 수</t>
  </si>
  <si>
    <t>구성</t>
  </si>
  <si>
    <t>요구사항 목록 / 검증 규칙 / 화면 목록 / 인터페이스</t>
  </si>
  <si>
    <t>기록 위치</t>
  </si>
  <si>
    <t>시트 구조·기준이 바뀌면 아래 개정 이력에 한 줄 추가한다. 항목 하나의 내용 변경은 각 시트 행의 변경일에 적는다.</t>
  </si>
  <si>
    <t>개정 이력</t>
  </si>
  <si>
    <t>이후 수정은 표 맨 아래 빈 행에 버전, 일자, 대상, 변경 내용을 추가하고, 위쪽 버전과 변경일도 함께 올린다.</t>
  </si>
  <si>
    <t>일자</t>
  </si>
  <si>
    <t>대상</t>
  </si>
  <si>
    <t>변경 내용</t>
  </si>
  <si>
    <t>1.0</t>
  </si>
  <si>
    <t>전체</t>
  </si>
  <si>
    <t>1.1</t>
  </si>
  <si>
    <t>요구사항정의서 1.1 반영. 경계를 검지·관제·통제로 확장하고, 원본 불변을 유지. 현장 신호기 직접 제어는 제외.</t>
  </si>
  <si>
    <t>요구사항 목록, 검증 규칙, 화면 목록, 인터페이스</t>
  </si>
  <si>
    <t>요구사항 목록: 기능/비기능, 우선순위, 난이도, 등록일, 변경일, 완료예정일, 완료일 추가. 기능/비기능·우선순위는 정의서 값. 난이도는 상(핵심·스프린트 규모), 중(수 일), 하(하루 이내)로 부여. 검증 규칙·화면 목록: 우선순위, 난이도, 일자 4종 추가. 인터페이스: 난이도와 일자 4종 추가. 우선순위 값이 있던 기능/설명 헤더는 우선순위로 고침. 각 시트의 빈 완료 칸은 완료일로 바꿈.</t>
  </si>
  <si>
    <t>요구사항 목록</t>
  </si>
  <si>
    <t>요구사항 상세</t>
  </si>
  <si>
    <t>구분</t>
  </si>
  <si>
    <t>명칭</t>
  </si>
  <si>
    <t>기능/비기능</t>
  </si>
  <si>
    <t>출처</t>
  </si>
  <si>
    <t>수용 기준</t>
  </si>
  <si>
    <t>FR-SYS-001</t>
  </si>
  <si>
    <t>6.1 시스템 구성 (SFR-001)</t>
  </si>
  <si>
    <t>웹 기반 모니터링 시스템 구성</t>
  </si>
  <si>
    <t>기능</t>
  </si>
  <si>
    <t>SFR-001</t>
  </si>
  <si>
    <t>시스템은 사용자용 웹 애플리케이션, 서버 API, 데이터 저장소, 주기 수집 스케줄러, 검지(검증 엔진), 관제(대시보드·이슈), 통제(제공 계층·계획·현장 요청)로 구성되어야 한다.</t>
  </si>
  <si>
    <t>로그인 후 대시보드에 접근 가능하고, 스케줄러가 설정 주기로 수집을 실행하며, 수집 결과가 DB에 저장되고 API로 조회된다. 검지 결과가 관제 화면에 나타나고, 통제 조치가 제공 계층 또는 계획에 반영된다. 시스템 구성도가 산출물에 포함된다.</t>
  </si>
  <si>
    <t>FR-SYS-002</t>
  </si>
  <si>
    <t>수집 규모 확장 설정</t>
  </si>
  <si>
    <t>표본 교차로 수를 설정으로 늘리거나 줄일 수 있어야 한다. 코드 수정 없이 관리자 설정 또는 구성 값으로 변경 가능해야 한다.</t>
  </si>
  <si>
    <t>관리자가 수집 대상 교차로를 추가·제외하면 다음 수집 주기부터 반영된다. 수집량·저장량 산출(교차로 수 × 주기 × 일)이 문서에 있다.</t>
  </si>
  <si>
    <t>FR-COL-001</t>
  </si>
  <si>
    <t>6.2 신호 데이터 수집 (SFR-002)</t>
  </si>
  <si>
    <t>교차로 맵 정보 수집</t>
  </si>
  <si>
    <t>SFR-002</t>
  </si>
  <si>
    <t>FR-COL-002</t>
  </si>
  <si>
    <t>실시간 신호 상태 수집</t>
  </si>
  <si>
    <t>FR-COL-003</t>
  </si>
  <si>
    <t>수집 실패 재시도 및 부분 실패 관리</t>
  </si>
  <si>
    <t>호출 실패(타임아웃, 5xx, 인증 오류 제외한 일시 장애) 시 재시도해야 한다. 일부 교차로만 실패한 경우 실패 목록을 남기고 다음 주기에 우선 수집해야 한다.</t>
  </si>
  <si>
    <t>실패 교차로 ID, 시각, 오류 코드가 로그에 남는다. 다음 주기에서 해당 교차로가 우선 처리된다. 연속 실패는 수신 품질 오류로 검증 엔진에 전달된다.</t>
  </si>
  <si>
    <t>FR-COL-004</t>
  </si>
  <si>
    <t>수신 데이터 정규화</t>
  </si>
  <si>
    <t>하</t>
  </si>
  <si>
    <t>SFR-002, DAR</t>
  </si>
  <si>
    <t>수집 JSON을 검증·저장용 내부 형식으로 변환해야 한다. `...RmndCs` 잔여시간은 센티초에서 초로 변환한다. 점등상태 별칭·공백·대소문자는 표준 코드로 매핑한다.</t>
  </si>
  <si>
    <t>원본 `18000`은 정규화 계층에서 `180`초로 저장된다. 매핑 실패한 코드는 R12로 판정되고, 자동 매핑 가능하면 보정 로그가 남는다.</t>
  </si>
  <si>
    <t>FR-COL-005</t>
  </si>
  <si>
    <t>일일 수집 쿼터 준수</t>
  </si>
  <si>
    <t>EXT-005, 제약</t>
  </si>
  <si>
    <t>FR-PLN-001</t>
  </si>
  <si>
    <t>6.3 신호 계획 (EXT-001, SFR-002 추가)</t>
  </si>
  <si>
    <t>신호 계획 적재</t>
  </si>
  <si>
    <t>EXT-001, SFR-002</t>
  </si>
  <si>
    <t>시스템은 교차로·방향·현시종류 단위로 정규화된 신호 계획을 저장해야 한다. 계획에는 TOD 유효 구간(시작~종료, 요일·특수일), 현시 순서, 표준 유지시간(초), 사이클 길이, 동시 점등 제약, **계획 출처**가 포함되어야 한다.</t>
  </si>
  <si>
    <t>출처와 무관하게 동일 스키마로 조회된다. 출처 값이 `UTIC` / `수동등록` / `추정` / `시드` 중 하나로 저장된다.</t>
  </si>
  <si>
    <t>FR-PLN-002</t>
  </si>
  <si>
    <t>UTIC 계획 수집 (승인 후)</t>
  </si>
  <si>
    <t>중요</t>
  </si>
  <si>
    <t>UTIC 승인 후 교차로 기반정보, TOD(운영·평일·특수일·예약), 현시구성, SIGNALMAP을 일 1회 또는 변경 시 수집해야 한다.</t>
  </si>
  <si>
    <t>승인된 키로 일 1회 적재가 성공하면 해당 교차로의 계획 출처가 `UTIC`로 갱신된다. 미승인 상태에서는 본 요구를 건너뛰고 FR-PLN-003을 사용한다. 이 경우 미승인은 결함이 아니다.</t>
  </si>
  <si>
    <t>FR-PLN-003</t>
  </si>
  <si>
    <t>승인 전 계획 대체</t>
  </si>
  <si>
    <t>EXT-001</t>
  </si>
  <si>
    <t>UTIC 미승인 시 아래 우선순위로 계획을 대체해야 한다. (1) 운영자 등록 계획 (2) 최근 정상 주기 추정 (3) 수업용 시드 데이터.</t>
  </si>
  <si>
    <t>UTIC 없이도 최소 1개 표본 교차로에서 계획 대조(FR-VAL-003)가 수행된다. 대체 계획의 출처가 화면에 표시된다.</t>
  </si>
  <si>
    <t>FR-PLN-004</t>
  </si>
  <si>
    <t>교차로 ID 매핑</t>
  </si>
  <si>
    <t>UTIC `INT_NO`(및 지역코드·명칭·좌표)와 실시간 `crsrdId`를 매핑하는 테이블을 두어야 한다. 자동 후보(이름·좌표 근접) 제시 후 관리자가 확정할 수 있어야 한다.</t>
  </si>
  <si>
    <t>매핑된 교차로만 계획 대조를 한다. 미매핑 교차로는 실시간 모니터링만 하고 계획 대조를 건너뛴다. 관리자가 매핑을 확정·해제할 수 있다.</t>
  </si>
  <si>
    <t>FR-STO-001</t>
  </si>
  <si>
    <t>6.4 저장 및 관리 (SFR-003)</t>
  </si>
  <si>
    <t>계층별 저장</t>
  </si>
  <si>
    <t>SFR-003, DAR</t>
  </si>
  <si>
    <t>원시 수신, 교차로 마스터, 계획, 제공 계층(정규화·통제 후 상태), 검증 결과, 보정·통제 로그, 이슈, 집계 통계를 구분하여 저장해야 한다. 원시 데이터는 자동보정·관리자 통제로 덮어쓰지 않아야 한다.</t>
  </si>
  <si>
    <t>동일 수집 건에 대해 원본 값과 제공(통제 후) 값을 각각 조회할 수 있다. 자동보정·관리자 정보 통제 테스트에서 원본 레코드가 변경되지 않는다.</t>
  </si>
  <si>
    <t>FR-STO-002</t>
  </si>
  <si>
    <t>이력 보존</t>
  </si>
  <si>
    <t>SFR-003</t>
  </si>
  <si>
    <t>상태·검증·이슈·보정은 이력으로 남아 기간 조회가 가능해야 한다.</t>
  </si>
  <si>
    <t>지정 기간의 교차로 상태 이력과 검증 결과를 조회할 수 있다. 일·주·월 단위 관리에 사용할 수 있다.</t>
  </si>
  <si>
    <t>FR-STO-003</t>
  </si>
  <si>
    <t>집계 배치</t>
  </si>
  <si>
    <t>SFR-003, PER-004</t>
  </si>
  <si>
    <t>시간·일·주·월 단위 집계를 배치로 생성해야 한다. 통계 화면은 원본 풀스캔이 아니라 집계 테이블을 사용해야 한다.</t>
  </si>
  <si>
    <t>집계 배치 실행 후 통계 화면이 사전 집계 결과를 표시한다. 표본 규모에서 통계 조회가 3초 이내이다.</t>
  </si>
  <si>
    <t>FR-VAL-001</t>
  </si>
  <si>
    <t>6.5 검증 (SFR-004)</t>
  </si>
  <si>
    <t>규칙 엔진 실행</t>
  </si>
  <si>
    <t>SFR-004</t>
  </si>
  <si>
    <t>수집·정규화 이후 검증 규칙 엔진이 자동 실행되어야 한다. 규칙은 코드에 하드코딩된 임계값만으로 동작하지 않고, **설정 테이블의 임계값**을 읽어야 한다.</t>
  </si>
  <si>
    <t>관리자가 임계값(초, 횟수, 등급)을 바꾸면 다음 검증부터 반영된다. 각 판정에 규칙 ID가 붙는다.</t>
  </si>
  <si>
    <t>FR-VAL-002</t>
  </si>
  <si>
    <t>품질·정합성·일관성·수신 품질 검증</t>
  </si>
  <si>
    <t>엔진은 아래 관점을 검사해야 한다. 정보 입력 상태, 정합성, 일관성, 교차로 운영상태, 수신 품질. 개별 규칙은 6.5.1을 따른다.</t>
  </si>
  <si>
    <t>정상값·경계값·오류값 테스트 케이스가 규칙별로 존재하고, 기대 판정과 일치한다.</t>
  </si>
  <si>
    <t>FR-VAL-003</t>
  </si>
  <si>
    <t>계획 대비 상태 대조</t>
  </si>
  <si>
    <t>SFR-004, EXT-001</t>
  </si>
  <si>
    <t>매핑된 교차로에 대해, 같은 시각·같은 방향에서 현재 점등상태·잔여시간이 유효 계획과 어긋나면 오류로 판정해야 한다.</t>
  </si>
  <si>
    <t>계획이 “직진 녹색 유지 30초”인 구간에 해당 방향이 적색이면 불일치 이슈(또는 해당 규칙)가 발생한다. 미매핑 교차로에서는 본 대조가 실행되지 않는다.</t>
  </si>
  <si>
    <t>FR-VAL-004</t>
  </si>
  <si>
    <t>오류 등급</t>
  </si>
  <si>
    <t>판정 결과는 INFO / WARN / ERROR / CRITICAL 중 하나여야 한다. WARN이 반복되면 상위 등급으로 승격할 수 있어야 한다.</t>
  </si>
  <si>
    <t>충돌 현시 동시 녹색은 CRITICAL이다. 자동보정 완료 건은 INFO로 로그된다. 대시보드가 등급별로 구분 표시한다.</t>
  </si>
  <si>
    <t>FR-VAL-005</t>
  </si>
  <si>
    <t>해결 가능 오류 자동 정보 통제</t>
  </si>
  <si>
    <t>EXT-002, EXT-003, EXT-006</t>
  </si>
  <si>
    <t>해결 가능 오류는 시스템이 제공 계층을 자동 통제(보정)한 뒤 대시보드·서비스 값에 반영해야 한다. 보정 시 규칙 ID, 보정 전/후, 시각, 신뢰도를 로그로 남긴다. **원본 수신은 보존한다.** 동일 규칙이 짧은 시간에 반복되면 자동 통제를 중단하고 이슈로 올린다.</t>
  </si>
  <si>
    <t>중복 수신은 제공 계층에서 제거되고 원본은 남는다. 수집 공백 동안 잔여시간 1초 감소는 계획·직전 정상값과 모순이 없을 때만 제공 계층에 적용된다. 대시보드에 “자동보정 N건”이 표시된다. 연속 결측은 보정하지 않고 이슈가 된다.</t>
  </si>
  <si>
    <t>FR-VAL-006</t>
  </si>
  <si>
    <t>해결 불가 오류 이슈 분기</t>
  </si>
  <si>
    <t>EXT-002</t>
  </si>
  <si>
    <t>해결 불가 오류(지속적 계획 불일치, 현시 순서 위반, 충돌 녹색, 잔여시간 급변 반복, 장시간 미수신, 자동보정 실패)는 이슈로 등록해야 한다.</t>
  </si>
  <si>
    <t>해당 조건 발생 시 OPEN 이슈가 1건 생성된다. 동일 교차로·규칙·미종료 이슈가 있으면 중복 생성하지 않고 기존 이슈를 갱신한다.</t>
  </si>
  <si>
    <t>FR-ISS-001</t>
  </si>
  <si>
    <t>6.6 이슈 및 관리자 조치 (SFR-005, EXT-004)</t>
  </si>
  <si>
    <t>이슈 등록</t>
  </si>
  <si>
    <t>SFR-005</t>
  </si>
  <si>
    <t>이슈에는 교차로, 방향, 규칙 ID, 등급, 발생시각, 원본/보정값, 추정 원인, 담당자, 조치 내용, 상태를 담아야 한다.</t>
  </si>
  <si>
    <t>신규 이슈가 오류 목록과 대시보드 미처리 건수에 즉시 반영된다.</t>
  </si>
  <si>
    <t>FR-ISS-002</t>
  </si>
  <si>
    <t>이슈 생명주기</t>
  </si>
  <si>
    <t>이슈 상태는 `OPEN → ACK → IN_PROGRESS → RESOLVED → CLOSED` 를 따른다. 오탐은 `FALSE_POSITIVE` 후 종료할 수 있다.</t>
  </si>
  <si>
    <t>허용되지 않는 상태 전이는 거부된다. 모든 상태 변경에 사용자·시각·코멘트가 이력으로 남는다.</t>
  </si>
  <si>
    <t>FR-ISS-003</t>
  </si>
  <si>
    <t>관리자 정보·계획 통제와 재검증</t>
  </si>
  <si>
    <t>EXT-004, EXT-006</t>
  </si>
  <si>
    <t>관리자는 잘못된 제공 상태값을 수동 정정하거나, 신호 계획(TOD, 현시 순서, 유지시간)을 수정한 뒤 재검증을 실행할 수 있어야 한다. 이는 정보 통제·계획 통제에 해당한다. 수정은 감사 로그 필수이다.</t>
  </si>
  <si>
    <t>운영자는 값/계획을 수정할 수 없다. 관리자 수정 후 해당 교차로가 재검증된다. 원본 수신 값은 그대로이고 제공 계층·계획 테이블만 변경된다.</t>
  </si>
  <si>
    <t>FR-ISS-004</t>
  </si>
  <si>
    <t>감시 제외</t>
  </si>
  <si>
    <t>EXT-004</t>
  </si>
  <si>
    <t>관리자는 유지보수를 위해 특정 교차로를 일시적으로 감시에서 제외할 수 있어야 한다.</t>
  </si>
  <si>
    <t>제외 기간 동안 해당 교차로는 신규 이슈를 만들지 않는다. 제외 사유·기간이 기록된다. 기간 종료 후 자동 재개된다.</t>
  </si>
  <si>
    <t>FR-CTL-001</t>
  </si>
  <si>
    <t>6.6.1 통제 (EXT-006)</t>
  </si>
  <si>
    <t>원본·제공 계층 분리</t>
  </si>
  <si>
    <t>EXT-006, SFR-003</t>
  </si>
  <si>
    <t>상태 데이터는 최소 두 계층으로 나눈다. (1) 원본 수신 — 수집 당시 값, 불변 (2) 제공 계층 — 검지·통제 후 대시보드와 (가상) 대외 제공에 쓰는 값. 자동보정과 관리자 정보 통제는 제공 계층에만 쓴다.</t>
  </si>
  <si>
    <t>교차로 상세에서 원본 잔여시간/점등상태와 제공(통제 후) 값을 나란히 조회할 수 있다. 제공 값을 바꿔도 원본 행의 필드가 그대로이다.</t>
  </si>
  <si>
    <t>FR-CTL-002</t>
  </si>
  <si>
    <t>정보 통제</t>
  </si>
  <si>
    <t>EXT-006</t>
  </si>
  <si>
    <t>제공 정보가 틀린 오류에 대해 시스템은 다음 중 하나로 통제해야 한다. (a) 제공 값 대체(자동 또는 관리자) (b) 해당 교차로·방향의 정보 제공 일시 차단 (c) 추정 타이머 표시. 대시보드 기본 표시는 제공 계층이다.</t>
  </si>
  <si>
    <t>관리자가 제공 값을 대체하면 대시보드가 새 값을 보여주고 원본은 유지된다. 제공 차단 시 해당 교차로는 “제공 중지”로 표시되고 서비스 값으로 나가지 않는다. 차단 해제 시 최신 검지 결과가 다시 제공된다.</t>
  </si>
  <si>
    <t>FR-CTL-003</t>
  </si>
  <si>
    <t>계획 통제</t>
  </si>
  <si>
    <t>EXT-006, EXT-001</t>
  </si>
  <si>
    <t>계획이 원인인 오류는 관리자가 TOD·현시 순서·유지시간을 수정하는 것으로 통제한다. 수정 후 해당 교차로를 재검증해야 한다. FR-ISS-003과 동일 권한을 쓴다.</t>
  </si>
  <si>
    <t>계획만 고친 뒤 재검증하면, 상태가 계획과 맞을 경우 해당 이슈를 해결 처리할 수 있다. 계획 변경은 통제 이력에 `PLAN_UPDATE`로 남는다.</t>
  </si>
  <si>
    <t>FR-CTL-004</t>
  </si>
  <si>
    <t>현장 통제 요청 (실제어 없음)</t>
  </si>
  <si>
    <t>충돌 현시 등 현장 등화기를 바꿔야 하는 오류는 정보 통제만으로 닫지 않는다. 관리자는 현장 통제 요청을 등록해야 한다. 요청에는 교차로, 방향, 규칙 ID, 요청 시각, 요청 내용(예: 충돌 현시 해제 확인), 상태를 담는다. **MVP는 신호제어기에 점등·주기 명령을 전송하지 않는다.** 전송 인터페이스는 기록·시뮬레이션으로만 둔다.</t>
  </si>
  <si>
    <t>R06 CRITICAL 이슈에서 “현장 통제 요청”을 남기면 요청 이력이 조회된다. 실제 외부 신호기 API 호출이 발생하지 않는다. 요청 상태(OPEN/ACK/DONE)가 이슈와 연결된다. 동시에 해당 교차로 정보는 기본으로 제공 차단된다(FR-CTL-002).</t>
  </si>
  <si>
    <t>FR-CTL-005</t>
  </si>
  <si>
    <t>통제 이력과 원본 불변</t>
  </si>
  <si>
    <t>EXT-003, EXT-006</t>
  </si>
  <si>
    <t>모든 통제(자동 정보 통제, 수동 정보 통제, 계획 통제, 제공 차단, 현장 통제 요청)는 이력으로 남아야 한다. 필드: 시각, 액터(시스템/관리자), 유형, 대상 교차로·방향, 원본 값, 제공 값(전/후), 이슈 ID. 어떤 통제도 원본 수신 레코드를 UPDATE/DELETE로 변경하지 않는다.</t>
  </si>
  <si>
    <t>통제 전후 제공 값과 원본 값이 이력에서 재현된다. 원본 테이블에 대한 변경 쿼리가 통제 처리 경로에 없다(테스트로 원본 해시 또는 전후 스냅샷이 동일).</t>
  </si>
  <si>
    <t>FR-MON-001</t>
  </si>
  <si>
    <t>6.7 모니터링 프로그램 (SFR-005)</t>
  </si>
  <si>
    <t>종합 대시보드</t>
  </si>
  <si>
    <t>SFR-005, SIR-001</t>
  </si>
  <si>
    <t>한 화면에서 전체/정상/경고/오류 교차로 수, 수신 지연, 자동보정 건수, 미처리 이슈, 시간대 오류 추이를 보여 주어야 한다. 차트·그래프를 사용한다.</t>
  </si>
  <si>
    <t>로그인 후 추가 이동 없이 위 지표가 보인다. 표본 규모에서 최초 로딩 3초 이내. HTML5 표준 브라우저에서 동작한다.</t>
  </si>
  <si>
    <t>FR-MON-002</t>
  </si>
  <si>
    <t>교차로 상세</t>
  </si>
  <si>
    <t>교차로를 선택하면 8방향 점등·잔여시간, 계획 대비 정보, 최근 검증 타임라인, **원본 값과 제공(통제 후) 값**을 보여 주어야 한다. 수집 공백 시 UI 타이머로 잔여시간을 1초씩 감소시켜 표시할 수 있다. 이 타이머 보정은 제공 계층·표시용이며 원본을 바꾸지 않는다.</t>
  </si>
  <si>
    <t>상세 화면에 방향별 상태와 최근 오류가 표시된다. 원본과 제공 값이 다르면 둘 다 보인다. UI 타이머가 켜져 있어도 원시 저장 값은 변하지 않는다.</t>
  </si>
  <si>
    <t>FR-MON-003</t>
  </si>
  <si>
    <t>오류·이슈 목록 및 실시간 내역</t>
  </si>
  <si>
    <t>오류·이슈를 유형, 등급, 기간, 교차로, 상태로 필터해야 한다. 신규 오류는 목록과 배지로 알려야 한다.</t>
  </si>
  <si>
    <t>필터 조합 결과가 조건과 일치한다. 신규 ERROR/CRITICAL 발생 시 목록 상단 또는 배지 수치가 갱신된다.</t>
  </si>
  <si>
    <t>FR-MON-003-1</t>
  </si>
  <si>
    <t>실시간 푸시 (선택)</t>
  </si>
  <si>
    <t>선택</t>
  </si>
  <si>
    <t>가능하면 웹소켓 등으로 신규 오류를 푸시한다. 미구현 시 주기적 폴링으로 대체한다.</t>
  </si>
  <si>
    <t>푸시를 쓰면 신규 이슈가 수동 새로고침 없이 나타난다. 폴링 대체 시 갱신 주기가 설정에 명시되고 동작한다.</t>
  </si>
  <si>
    <t>FR-MON-004</t>
  </si>
  <si>
    <t>이력·통계·내보내기</t>
  </si>
  <si>
    <t>오류 유형·기간·교차로별 통계를 조회하고 CSV 또는 인쇄 가능한 형태로 내보낼 수 있어야 한다. 오류율, 다발 교차로, 규칙별 발생, 자동보정 vs 수동조치 비율을 포함한다.</t>
  </si>
  <si>
    <t>기간을 바꾸면 집계가 다시 계산되어 표시된다(사전 집계 테이블 사용). CSV 다운로드 시 화면에 보이는 필터 조건이 반영된다.</t>
  </si>
  <si>
    <t>FR-MON-005</t>
  </si>
  <si>
    <t>신호 계획 조회·편집 화면</t>
  </si>
  <si>
    <t>관리자는 TOD·현시구성·SIGNALMAP(또는 대체 계획)을 조회하고, 미매핑·수동 계획을 등록·수정할 수 있어야 한다.</t>
  </si>
  <si>
    <t>운영자는 조회만 가능하다. 관리자 수정은 FR-ISS-003 감사 로그와 연결된다.</t>
  </si>
  <si>
    <t>FR-MON-006</t>
  </si>
  <si>
    <t>지도 시각화 (선택)</t>
  </si>
  <si>
    <t>팀 설계 미결</t>
  </si>
  <si>
    <t>인천 지도 위에 교차로 상태를 색으로 표시할 수 있다. 1차 MVP에서 제외해도 된다.</t>
  </si>
  <si>
    <t>포함할 경우 상태 등급별 색이 범례와 일치한다. 미포함은 범위 제외이며 결함이 아니다.</t>
  </si>
  <si>
    <t>FR-ADM-001</t>
  </si>
  <si>
    <t>6.8 계정·설정 (SFR-005)</t>
  </si>
  <si>
    <t>로그인 및 역할 기반 권한</t>
  </si>
  <si>
    <t>SFR-005, SCR</t>
  </si>
  <si>
    <t>사용자는 로그인해야 화면에 접근한다. 역할은 최소 운영자·관리자이다. 계정 등록·수정·삭제는 관리자만 한다. 정보 통제·계획 통제·현장 통제 요청은 관리자만 한다. 비밀번호는 해시 저장한다.</t>
  </si>
  <si>
    <t>비로그인 사용자는 보호된 API/페이지에 접근할 수 없다. 운영자 계정으로 제공 값 수정·계획 수정·계정 삭제·현장 통제 요청을 시도하면 거부된다. 비밀번호가 평문으로 저장되지 않는다.</t>
  </si>
  <si>
    <t>FR-ADM-002</t>
  </si>
  <si>
    <t>운영 설정</t>
  </si>
  <si>
    <t>SFR-005, EXT-005</t>
  </si>
  <si>
    <t>관리자는 수집 대상, 수집 주기, 규칙 임계값, API 쿼터 사용량을 설정·조회할 수 있어야 한다. 오탐 완화를 위한 규칙 완화는 설정 변경으로만 하며 코드 배포를 요구하지 않아야 한다.</t>
  </si>
  <si>
    <t>임계값 변경 후 재검증 결과가 새 임계값을 따른다. 설정 변경 이력이 남는다.</t>
  </si>
  <si>
    <t>NFR-PER-001</t>
  </si>
  <si>
    <t>7.1 성능</t>
  </si>
  <si>
    <t>화면 응답 시간</t>
  </si>
  <si>
    <t>비기능</t>
  </si>
  <si>
    <t>PER-004</t>
  </si>
  <si>
    <t>표본 규모에서 주요 화면(대시보드, 오류 목록, 교차로 상세, 통계)의 일반 조회는 **3초 이내**에 응답해야 한다.</t>
  </si>
  <si>
    <t>테스트 환경에서 해당 화면 5회 측정 중 4회 이상이 3초 이내이다. 오래 걸리는 작업은 진행 표시를 한다.</t>
  </si>
  <si>
    <t>NFR-PER-002</t>
  </si>
  <si>
    <t>수집이 화면을 막지 않음</t>
  </si>
  <si>
    <t>PER, SFR-001</t>
  </si>
  <si>
    <t>수집·검증 배치는 웹 요청 스레드를 장시간 점유하지 않아야 한다.</t>
  </si>
  <si>
    <t>수집이 진행 중이어도 대시보드 조회가 NFR-PER-001을 만족한다.</t>
  </si>
  <si>
    <t>NFR-PER-003</t>
  </si>
  <si>
    <t>용량</t>
  </si>
  <si>
    <t>SFR-001, PER</t>
  </si>
  <si>
    <t>저장 용량은 표본 교차로 수 × 수집 주기 × 보관 기간으로 산정하고, 그 범위에서 장애 없이 동작해야 한다.</t>
  </si>
  <si>
    <t>설계 문서에 산정식과 가정치가 있고, 해당 가정 하에서 수집·조회 테스트가 통과한다.</t>
  </si>
  <si>
    <t>NFR-SEC-001</t>
  </si>
  <si>
    <t>7.2 보안</t>
  </si>
  <si>
    <t>인증·인가</t>
  </si>
  <si>
    <t>SCR-001~007 (수업 범위)</t>
  </si>
  <si>
    <t>역할 기반 접근제어(RBAC), 세션 또는 토큰 만료, 권한 없는 API 차단을 적용해야 한다. 센터 보안 특약·내부망 보안은 범위 외이다. 현장 신호기 제어 API 키/채널을 구현하지 않는다.</t>
  </si>
  <si>
    <t>운영자 토큰으로 관리자 API를 호출하면 403 또는 동등한 거부가 발생한다.</t>
  </si>
  <si>
    <t>NFR-SEC-002</t>
  </si>
  <si>
    <t>입력 검증과 비밀번호</t>
  </si>
  <si>
    <t>SCR</t>
  </si>
  <si>
    <t>사용자 입력은 서버에서 검증한다. 비밀번호는 복호화 불가능한 해시로 저장한다. API 인증키는 저장소·문서에 평문 커밋하지 않는다.</t>
  </si>
  <si>
    <t>기본 웹 취약점 점검(인증 우회, 주요 입력 검증)에서 치명 결함 0건. 시크릿이 소스 저장소에 없다.</t>
  </si>
  <si>
    <t>NFR-SEC-003</t>
  </si>
  <si>
    <t>감사 로그</t>
  </si>
  <si>
    <t>SCR, EXT-004</t>
  </si>
  <si>
    <t>로그인 실패, 권한 거부, 관리자 값/계획 수정, 이슈 상태 변경을 로그로 남겨야 한다.</t>
  </si>
  <si>
    <t>수정 전후 값을 관리자가 조회할 수 있다.</t>
  </si>
  <si>
    <t>NFR-QUR-001</t>
  </si>
  <si>
    <t>7.3 품질·신뢰성</t>
  </si>
  <si>
    <t>예외 처리</t>
  </si>
  <si>
    <t>QUR-001~003</t>
  </si>
  <si>
    <t>외부 API 장애, DB 오류, 잘못된 페이로드에 대해 시스템이 비정상 종료하지 않고 오류를 기록해야 한다.</t>
  </si>
  <si>
    <t>API 장애 시뮬레이션 후에도 웹 앱이 기동 상태를 유지하고, 사용자에게 실패 이유가 표시된다.</t>
  </si>
  <si>
    <t>NFR-QUR-002</t>
  </si>
  <si>
    <t>복구</t>
  </si>
  <si>
    <t>QUR</t>
  </si>
  <si>
    <t>프로세스 재시작 후 스케줄러와 웹이 수동 데이터 복구 없이 재개되어야 한다. 백업/복구 절차를 운영 매뉴얼에 적는다.</t>
  </si>
  <si>
    <t>재시작 후 수집이 재개되고 최근 데이터가 조회된다. 매뉴얼에 복구 절차가 있다.</t>
  </si>
  <si>
    <t>NFR-QUR-003</t>
  </si>
  <si>
    <t>완료 기준 (팀 계획서)</t>
  </si>
  <si>
    <t>팀별 계획서</t>
  </si>
  <si>
    <t>핵심 기능 테스트 100% 통과, 치명/주요 결함 0건, 매뉴얼로 재설치 및 시연 성공.</t>
  </si>
  <si>
    <t>12~13주 테스트 결과서와 15주 시연이 본 기준을 만족한다.</t>
  </si>
  <si>
    <t>NFR-USA-001</t>
  </si>
  <si>
    <t>7.4 사용성·표준</t>
  </si>
  <si>
    <t>웹 표준 및 반응형</t>
  </si>
  <si>
    <t>SIR-001</t>
  </si>
  <si>
    <t>HTML5 표준 브라우저에서 동작해야 한다. 주요 화면은 데스크톱 폭에서 정보 밀도를 우선하되, 기본 반응형을 제공한다. 행정안전부 디지털 정부서비스 UI/UX 가이드 취지를 따른다(과한 장식 없이 정보 구조 우선).</t>
  </si>
  <si>
    <t>Chrome 또는 Edge 최신 버전에서 주요 6개 화면이 깨지지 않는다.</t>
  </si>
  <si>
    <t>NFR-USA-002</t>
  </si>
  <si>
    <t>수집 공백 UX</t>
  </si>
  <si>
    <t>제약, SFR-005</t>
  </si>
  <si>
    <t>배치 수집 사이 공백은 잔여시간 UI 타이머로 보완한다. 사용자가 데이터가 “멈춘 것”과 “타이머 추정”을 구분할 수 있어야 한다.</t>
  </si>
  <si>
    <t>마지막 수신 시각이 화면에 보이고, 추정 표시 중이면 추정임을 알 수 있는 표시가 있다.</t>
  </si>
  <si>
    <t>검증 규칙</t>
  </si>
  <si>
    <t>요구사항을 판단하기 위한 세부 규칙</t>
  </si>
  <si>
    <t>규칙 ID</t>
  </si>
  <si>
    <t>내용</t>
  </si>
  <si>
    <t>기본 판정</t>
  </si>
  <si>
    <t>R01</t>
  </si>
  <si>
    <t>필수 필드 누락 (교차로ID, 방향, 점등상태, 잔여시간, 시각)</t>
  </si>
  <si>
    <t>자동보정 시도 후 실패 시 이슈</t>
  </si>
  <si>
    <t>R02</t>
  </si>
  <si>
    <t>잔여시간 범위 (0 이상, 계획 유지시간+여유초 이하)</t>
  </si>
  <si>
    <t>경미 이탈 보정, 큰 이탈 이슈</t>
  </si>
  <si>
    <t>R03</t>
  </si>
  <si>
    <t>잔여시간이 수집 간격보다 크게 증가 (계획 전환 제외)</t>
  </si>
  <si>
    <t>이슈</t>
  </si>
  <si>
    <t>R04</t>
  </si>
  <si>
    <t>잔여시간 급감 (타이머로 설명 불가)</t>
  </si>
  <si>
    <t>R05</t>
  </si>
  <si>
    <t>현시 순서 위반</t>
  </si>
  <si>
    <t>R06</t>
  </si>
  <si>
    <t>충돌 현시 동시 녹색</t>
  </si>
  <si>
    <t>CRITICAL 이슈</t>
  </si>
  <si>
    <t>R07</t>
  </si>
  <si>
    <t>수신 주기 지연</t>
  </si>
  <si>
    <t>길이에 따라 WARN → 이슈</t>
  </si>
  <si>
    <t>R08</t>
  </si>
  <si>
    <t>동일 교차로·시각·페이로드 중복</t>
  </si>
  <si>
    <t>자동 제거</t>
  </si>
  <si>
    <t>R09</t>
  </si>
  <si>
    <t>타임스탬프 역행</t>
  </si>
  <si>
    <t>정렬 가능하면 보정, 아니면 이슈</t>
  </si>
  <si>
    <t>R10</t>
  </si>
  <si>
    <t>계획 TOD와 운영시간 불일치</t>
  </si>
  <si>
    <t>R11</t>
  </si>
  <si>
    <t>점등상태는 적색인데 잔여시간이 초록 구간에 해당</t>
  </si>
  <si>
    <t>R12</t>
  </si>
  <si>
    <t>JSON/코드값 정규화 실패</t>
  </si>
  <si>
    <t>자동 매핑, 실패 시 이슈</t>
  </si>
  <si>
    <t>화면 목록</t>
  </si>
  <si>
    <t>기능 요구사항과 UI를 연결하기 위한 목록</t>
  </si>
  <si>
    <t>화면</t>
  </si>
  <si>
    <t>주요 요구</t>
  </si>
  <si>
    <t>역할</t>
  </si>
  <si>
    <t>로그인</t>
  </si>
  <si>
    <t>운영자, 관리자</t>
  </si>
  <si>
    <t>오류·이슈 목록/상세</t>
  </si>
  <si>
    <t>FR-MON-003, FR-ISS-001~003, FR-CTL-002~004</t>
  </si>
  <si>
    <t>운영자(조회·코멘트), 관리자(통제)</t>
  </si>
  <si>
    <t>신호 계획</t>
  </si>
  <si>
    <t>FR-MON-005, FR-PLN-*, FR-CTL-003</t>
  </si>
  <si>
    <t>운영자 조회, 관리자 계획 통제</t>
  </si>
  <si>
    <t>통제 이력</t>
  </si>
  <si>
    <t>운영자 조회, 관리자 조회</t>
  </si>
  <si>
    <t>통계·리포트</t>
  </si>
  <si>
    <t>설정</t>
  </si>
  <si>
    <t>FR-ADM-002, FR-COL-005</t>
  </si>
  <si>
    <t>관리자</t>
  </si>
  <si>
    <t>계정</t>
  </si>
  <si>
    <t>최초 작성. 요구사항 정의서를 기준으로 작성 요구사항 목록, 검증 규칙, 화면 목록, 인터페이스를 구성.</t>
    <phoneticPr fontId="4" type="noConversion"/>
  </si>
  <si>
    <t>왼쪽 3열(A-C)을 틀고정했다. 1~5행 헤더 고정은 유지한다.</t>
  </si>
  <si>
    <t>시스템은 교차로 ID, 명칭, 지자체명, 위·경도를 수집해야 한다. 당초에는 실시간 API `/crsrd_map_info`만 호출했다. 실시간 응답이 불안정하여 수업 검증의 기준 입력은 같은 필드의 녹화 픽스처(시드)이고, 실시간 호출이 성공하면 같은 마스터에 적재한다. 대상은 지자체명이 인천인 교차로이다.</t>
    <phoneticPr fontId="4" type="noConversion"/>
  </si>
  <si>
    <t>픽스처 또는 실시간 호출로 인천 교차로가 마스터에 저장되고, `crsrdId`로 이후 상태 데이터와 조인된다. 맵 수집 주기는 상태 수집보다 드물게 설정할 수 있다.</t>
    <phoneticPr fontId="4" type="noConversion"/>
  </si>
  <si>
    <t>시스템은 표본 교차로의 8방향 잔여시간·점등상태를 수집해야 한다. 당초에는 `/tl_drct_info` 실시간 호출만 사용했다. 수업 MVP의 기준 상태는 녹화 픽스처(시드)이며, 실시간 호출이 되면 같은 스키마로 저장한다. API 시각과 별도로 시스템 수신 시각을 기록해야 한다.</t>
    <phoneticPr fontId="4" type="noConversion"/>
  </si>
  <si>
    <t>픽스처 재생 또는 실시간 수집으로 지정 주기의 상태가 저장된다. 한 교차로 레코드에 방향(nt/et/st/wt 및 대각)과 신호 종류(직진·좌회전·보행 등)별 잔여시간·점등상태가 포함된다.</t>
    <phoneticPr fontId="4" type="noConversion"/>
  </si>
  <si>
    <t>실시간 API를 호출하는 경우에만 개발계정 일 5,000회를 넘지 않아야 한다. 픽스처 재생은 호출 수에 넣지 않는다. 시스템은 당일 실시간 호출 수를 집계하고, 한도 근접 시 추가 호출을 중단해야 한다. 교차로 전체를 초단위로 폴링하지 않는다.</t>
    <phoneticPr fontId="4" type="noConversion"/>
  </si>
  <si>
    <t>실시간 호출 수가 5,000을 초과하지 않는다. 픽스처만 재생할 때는 쿼터를 소진하지 않는다. 대시보드 또는 설정 화면에 사용량(사용/한도)이 표시된다. 한도 도달 시 실시간 호출을 멈추고 운영자에게 경고를 표시한다.</t>
    <phoneticPr fontId="4" type="noConversion"/>
  </si>
  <si>
    <t>당초 승인된 키로 인천 교차로 맵·상태를 실시간 수집했다. 실시간 API가 불안정하여 수업 검증·시연의 기준 데이터는 녹화된 픽스처이다. 실시간 호출이 성공하면 같은 저장 경로로 적재한다. 시연에서 어느 입력을 썼는지 명시한다.</t>
    <phoneticPr fontId="4" type="noConversion"/>
  </si>
  <si>
    <t>요구사항 목록, 인터페이스, 요약</t>
  </si>
  <si>
    <t>실시간 API만 쓰던 상태 수집을 바꿨다. 응답이 불안정하여 수업 기준 입력은 녹화 픽스처(시드)이고, 실시간 호출은 같은 스키마의 보조 경로로 남긴다. 삭제한 요구는 없어 취소선은 없다. FR-COL-001, FR-COL-002, FR-COL-005, IF-EXT-001 변경일은 2026-09-27. 작성일·등록일 2026-09-12는 2026-09-18로 바꿨다.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</si>
</sst>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rgb="FF1F4E78"/>
      <name val="맑은 고딕"/>
      <family val="3"/>
      <charset val="129"/>
    </font>
    <font>
      <sz val="11"/>
      <color rgb="FF1F4E78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D3E6"/>
      </left>
      <right style="thin">
        <color rgb="FFBDD3E6"/>
      </right>
      <top style="thin">
        <color rgb="FFBDD3E6"/>
      </top>
      <bottom style="thin">
        <color rgb="FFBDD3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176" fontId="7" fillId="0" borderId="4" xfId="0" applyNumberFormat="1" applyFont="1" applyBorder="1" applyAlignment="1">
      <alignment horizontal="center" vertical="top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C13" workbookViewId="0">
      <selection activeCell="A19" sqref="A19:D19"/>
    </sheetView>
  </sheetViews>
  <sheetFormatPr defaultRowHeight="17.399999999999999" x14ac:dyDescent="0.4"/>
  <cols>
    <col min="1" max="1" width="18" customWidth="1"/>
    <col min="2" max="2" width="55" customWidth="1"/>
    <col min="3" max="3" width="42" customWidth="1"/>
    <col min="4" max="4" width="88" customWidth="1"/>
  </cols>
  <sheetData>
    <row r="1" spans="1:4" ht="27.6" customHeight="1" x14ac:dyDescent="0.6">
      <c r="A1" s="24" t="s">
        <v>22</v>
      </c>
      <c r="B1" s="21"/>
      <c r="C1" s="21"/>
      <c r="D1" s="22"/>
    </row>
    <row r="2" spans="1:4" x14ac:dyDescent="0.4">
      <c r="A2" s="3"/>
      <c r="B2" s="3"/>
      <c r="C2" s="3"/>
      <c r="D2" s="3"/>
    </row>
    <row r="3" spans="1:4" x14ac:dyDescent="0.4">
      <c r="A3" s="4" t="s">
        <v>23</v>
      </c>
      <c r="B3" s="2" t="s">
        <v>24</v>
      </c>
      <c r="C3" s="3"/>
      <c r="D3" s="3"/>
    </row>
    <row r="4" spans="1:4" x14ac:dyDescent="0.4">
      <c r="A4" s="4" t="s">
        <v>25</v>
      </c>
      <c r="B4" s="2" t="s">
        <v>26</v>
      </c>
      <c r="C4" s="3"/>
      <c r="D4" s="3"/>
    </row>
    <row r="5" spans="1:4" x14ac:dyDescent="0.4">
      <c r="A5" s="4" t="s">
        <v>27</v>
      </c>
      <c r="B5" s="2">
        <v>1.4</v>
      </c>
      <c r="C5" s="3"/>
      <c r="D5" s="3"/>
    </row>
    <row r="6" spans="1:4" x14ac:dyDescent="0.4">
      <c r="A6" s="4" t="s">
        <v>29</v>
      </c>
      <c r="B6" s="31">
        <v>46283</v>
      </c>
      <c r="C6" s="3"/>
      <c r="D6" s="3"/>
    </row>
    <row r="7" spans="1:4" x14ac:dyDescent="0.4">
      <c r="A7" s="4" t="s">
        <v>30</v>
      </c>
      <c r="B7" s="2">
        <f>COUNTA('요구사항 목록'!A:A)-1</f>
        <v>51</v>
      </c>
      <c r="C7" s="3"/>
      <c r="D7" s="3"/>
    </row>
    <row r="8" spans="1:4" x14ac:dyDescent="0.4">
      <c r="A8" s="4" t="s">
        <v>31</v>
      </c>
      <c r="B8" s="2" t="s">
        <v>32</v>
      </c>
      <c r="C8" s="3"/>
      <c r="D8" s="3"/>
    </row>
    <row r="9" spans="1:4" x14ac:dyDescent="0.4">
      <c r="A9" s="12" t="s">
        <v>8</v>
      </c>
      <c r="B9" s="17">
        <v>46292</v>
      </c>
    </row>
    <row r="10" spans="1:4" ht="31.95" customHeight="1" x14ac:dyDescent="0.4">
      <c r="A10" s="12" t="s">
        <v>33</v>
      </c>
      <c r="B10" s="13" t="s">
        <v>34</v>
      </c>
    </row>
    <row r="12" spans="1:4" ht="24" customHeight="1" x14ac:dyDescent="0.4">
      <c r="A12" s="25" t="s">
        <v>35</v>
      </c>
      <c r="B12" s="26"/>
      <c r="C12" s="26"/>
      <c r="D12" s="26"/>
    </row>
    <row r="13" spans="1:4" ht="22.05" customHeight="1" x14ac:dyDescent="0.4">
      <c r="A13" s="27" t="s">
        <v>36</v>
      </c>
      <c r="B13" s="26"/>
      <c r="C13" s="26"/>
      <c r="D13" s="26"/>
    </row>
    <row r="14" spans="1:4" ht="22.05" customHeight="1" x14ac:dyDescent="0.4">
      <c r="A14" s="9" t="s">
        <v>27</v>
      </c>
      <c r="B14" s="9" t="s">
        <v>37</v>
      </c>
      <c r="C14" s="9" t="s">
        <v>38</v>
      </c>
      <c r="D14" s="9" t="s">
        <v>39</v>
      </c>
    </row>
    <row r="15" spans="1:4" ht="36" customHeight="1" x14ac:dyDescent="0.4">
      <c r="A15" s="14" t="s">
        <v>40</v>
      </c>
      <c r="B15" s="15">
        <v>46283</v>
      </c>
      <c r="C15" s="14" t="s">
        <v>41</v>
      </c>
      <c r="D15" s="16" t="s">
        <v>353</v>
      </c>
    </row>
    <row r="16" spans="1:4" ht="36" customHeight="1" x14ac:dyDescent="0.4">
      <c r="A16" s="14" t="s">
        <v>42</v>
      </c>
      <c r="B16" s="15">
        <v>46283</v>
      </c>
      <c r="C16" s="14" t="s">
        <v>41</v>
      </c>
      <c r="D16" s="16" t="s">
        <v>43</v>
      </c>
    </row>
    <row r="17" spans="1:4" ht="78" customHeight="1" x14ac:dyDescent="0.4">
      <c r="A17" s="14" t="s">
        <v>28</v>
      </c>
      <c r="B17" s="15">
        <v>46292</v>
      </c>
      <c r="C17" s="14" t="s">
        <v>44</v>
      </c>
      <c r="D17" s="16" t="s">
        <v>45</v>
      </c>
    </row>
    <row r="18" spans="1:4" ht="22.05" customHeight="1" x14ac:dyDescent="0.4">
      <c r="A18" s="14">
        <v>1.3</v>
      </c>
      <c r="B18" s="18">
        <v>46292</v>
      </c>
      <c r="C18" s="14" t="s">
        <v>44</v>
      </c>
      <c r="D18" s="16" t="s">
        <v>354</v>
      </c>
    </row>
    <row r="19" spans="1:4" ht="64.05" customHeight="1" x14ac:dyDescent="0.4">
      <c r="A19" s="14">
        <v>1.4</v>
      </c>
      <c r="B19" s="18">
        <v>46292</v>
      </c>
      <c r="C19" s="14" t="s">
        <v>362</v>
      </c>
      <c r="D19" s="16" t="s">
        <v>363</v>
      </c>
    </row>
  </sheetData>
  <mergeCells count="3">
    <mergeCell ref="A1:D1"/>
    <mergeCell ref="A12:D12"/>
    <mergeCell ref="A13:D1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54"/>
  <sheetViews>
    <sheetView zoomScale="85" zoomScaleNormal="85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 activeCell="C8" sqref="C8"/>
    </sheetView>
  </sheetViews>
  <sheetFormatPr defaultRowHeight="17.399999999999999" x14ac:dyDescent="0.4"/>
  <cols>
    <col min="1" max="1" width="18" customWidth="1"/>
    <col min="2" max="2" width="28" customWidth="1"/>
    <col min="3" max="3" width="34" customWidth="1"/>
    <col min="4" max="4" width="14" customWidth="1"/>
    <col min="5" max="6" width="12" customWidth="1"/>
    <col min="7" max="7" width="22" customWidth="1"/>
    <col min="8" max="8" width="70" customWidth="1"/>
    <col min="9" max="9" width="75" customWidth="1"/>
    <col min="10" max="13" width="14" customWidth="1"/>
  </cols>
  <sheetData>
    <row r="2" spans="1:13" ht="25.2" customHeight="1" x14ac:dyDescent="0.4">
      <c r="A2" s="28" t="s">
        <v>46</v>
      </c>
      <c r="B2" s="21"/>
      <c r="C2" s="22"/>
    </row>
    <row r="3" spans="1:13" s="7" customFormat="1" ht="15.6" customHeight="1" x14ac:dyDescent="0.4">
      <c r="A3" s="20" t="s">
        <v>47</v>
      </c>
      <c r="B3" s="21"/>
      <c r="C3" s="22"/>
    </row>
    <row r="4" spans="1:13" s="7" customFormat="1" ht="15.6" customHeight="1" x14ac:dyDescent="0.4">
      <c r="A4" s="8"/>
      <c r="B4" s="8"/>
    </row>
    <row r="5" spans="1:13" ht="30" customHeight="1" x14ac:dyDescent="0.4">
      <c r="A5" s="6" t="s">
        <v>2</v>
      </c>
      <c r="B5" s="6" t="s">
        <v>48</v>
      </c>
      <c r="C5" s="6" t="s">
        <v>49</v>
      </c>
      <c r="D5" s="9" t="s">
        <v>50</v>
      </c>
      <c r="E5" s="9" t="s">
        <v>3</v>
      </c>
      <c r="F5" s="9" t="s">
        <v>6</v>
      </c>
      <c r="G5" s="6" t="s">
        <v>51</v>
      </c>
      <c r="H5" s="6" t="s">
        <v>5</v>
      </c>
      <c r="I5" s="1" t="s">
        <v>52</v>
      </c>
      <c r="J5" s="9" t="s">
        <v>7</v>
      </c>
      <c r="K5" s="9" t="s">
        <v>8</v>
      </c>
      <c r="L5" s="9" t="s">
        <v>9</v>
      </c>
      <c r="M5" s="9" t="s">
        <v>10</v>
      </c>
    </row>
    <row r="6" spans="1:13" ht="52.2" customHeight="1" x14ac:dyDescent="0.4">
      <c r="A6" s="5" t="s">
        <v>53</v>
      </c>
      <c r="B6" s="5" t="s">
        <v>54</v>
      </c>
      <c r="C6" s="5" t="s">
        <v>55</v>
      </c>
      <c r="D6" s="10" t="s">
        <v>56</v>
      </c>
      <c r="E6" s="10" t="s">
        <v>12</v>
      </c>
      <c r="F6" s="10" t="s">
        <v>18</v>
      </c>
      <c r="G6" s="5" t="s">
        <v>57</v>
      </c>
      <c r="H6" s="5" t="s">
        <v>58</v>
      </c>
      <c r="I6" s="2" t="s">
        <v>59</v>
      </c>
      <c r="J6" s="19">
        <v>46283</v>
      </c>
      <c r="K6" s="11"/>
      <c r="L6" s="11"/>
      <c r="M6" s="11"/>
    </row>
    <row r="7" spans="1:13" ht="34.799999999999997" customHeight="1" x14ac:dyDescent="0.4">
      <c r="A7" s="5" t="s">
        <v>60</v>
      </c>
      <c r="B7" s="5" t="s">
        <v>54</v>
      </c>
      <c r="C7" s="5" t="s">
        <v>61</v>
      </c>
      <c r="D7" s="10" t="s">
        <v>56</v>
      </c>
      <c r="E7" s="10" t="s">
        <v>12</v>
      </c>
      <c r="F7" s="10" t="s">
        <v>14</v>
      </c>
      <c r="G7" s="5" t="s">
        <v>57</v>
      </c>
      <c r="H7" s="5" t="s">
        <v>62</v>
      </c>
      <c r="I7" s="2" t="s">
        <v>63</v>
      </c>
      <c r="J7" s="19">
        <v>46283</v>
      </c>
      <c r="K7" s="11"/>
      <c r="L7" s="11"/>
      <c r="M7" s="11"/>
    </row>
    <row r="8" spans="1:13" ht="72" customHeight="1" x14ac:dyDescent="0.4">
      <c r="A8" s="5" t="s">
        <v>64</v>
      </c>
      <c r="B8" s="5" t="s">
        <v>65</v>
      </c>
      <c r="C8" s="5" t="s">
        <v>66</v>
      </c>
      <c r="D8" s="10" t="s">
        <v>56</v>
      </c>
      <c r="E8" s="10" t="s">
        <v>12</v>
      </c>
      <c r="F8" s="10" t="s">
        <v>14</v>
      </c>
      <c r="G8" s="5" t="s">
        <v>67</v>
      </c>
      <c r="H8" s="5" t="s">
        <v>355</v>
      </c>
      <c r="I8" s="2" t="s">
        <v>356</v>
      </c>
      <c r="J8" s="19">
        <v>46283</v>
      </c>
      <c r="K8" s="19">
        <v>46292</v>
      </c>
      <c r="L8" s="11"/>
      <c r="M8" s="11"/>
    </row>
    <row r="9" spans="1:13" ht="72" customHeight="1" x14ac:dyDescent="0.4">
      <c r="A9" s="5" t="s">
        <v>68</v>
      </c>
      <c r="B9" s="5" t="s">
        <v>65</v>
      </c>
      <c r="C9" s="5" t="s">
        <v>69</v>
      </c>
      <c r="D9" s="10" t="s">
        <v>56</v>
      </c>
      <c r="E9" s="10" t="s">
        <v>12</v>
      </c>
      <c r="F9" s="10" t="s">
        <v>18</v>
      </c>
      <c r="G9" s="5" t="s">
        <v>67</v>
      </c>
      <c r="H9" s="5" t="s">
        <v>357</v>
      </c>
      <c r="I9" s="2" t="s">
        <v>358</v>
      </c>
      <c r="J9" s="19">
        <v>46283</v>
      </c>
      <c r="K9" s="19">
        <v>46292</v>
      </c>
      <c r="L9" s="11"/>
      <c r="M9" s="11"/>
    </row>
    <row r="10" spans="1:13" ht="34.799999999999997" customHeight="1" x14ac:dyDescent="0.4">
      <c r="A10" s="5" t="s">
        <v>70</v>
      </c>
      <c r="B10" s="5" t="s">
        <v>65</v>
      </c>
      <c r="C10" s="5" t="s">
        <v>71</v>
      </c>
      <c r="D10" s="10" t="s">
        <v>56</v>
      </c>
      <c r="E10" s="10" t="s">
        <v>12</v>
      </c>
      <c r="F10" s="10" t="s">
        <v>14</v>
      </c>
      <c r="G10" s="5" t="s">
        <v>67</v>
      </c>
      <c r="H10" s="5" t="s">
        <v>72</v>
      </c>
      <c r="I10" s="2" t="s">
        <v>73</v>
      </c>
      <c r="J10" s="19">
        <v>46283</v>
      </c>
      <c r="K10" s="11"/>
      <c r="L10" s="11"/>
      <c r="M10" s="11"/>
    </row>
    <row r="11" spans="1:13" ht="34.799999999999997" customHeight="1" x14ac:dyDescent="0.4">
      <c r="A11" s="5" t="s">
        <v>74</v>
      </c>
      <c r="B11" s="5" t="s">
        <v>65</v>
      </c>
      <c r="C11" s="5" t="s">
        <v>75</v>
      </c>
      <c r="D11" s="10" t="s">
        <v>56</v>
      </c>
      <c r="E11" s="10" t="s">
        <v>12</v>
      </c>
      <c r="F11" s="10" t="s">
        <v>76</v>
      </c>
      <c r="G11" s="5" t="s">
        <v>77</v>
      </c>
      <c r="H11" s="5" t="s">
        <v>78</v>
      </c>
      <c r="I11" s="2" t="s">
        <v>79</v>
      </c>
      <c r="J11" s="19">
        <v>46283</v>
      </c>
      <c r="K11" s="11"/>
      <c r="L11" s="11"/>
      <c r="M11" s="11"/>
    </row>
    <row r="12" spans="1:13" ht="72" customHeight="1" x14ac:dyDescent="0.4">
      <c r="A12" s="5" t="s">
        <v>80</v>
      </c>
      <c r="B12" s="5" t="s">
        <v>65</v>
      </c>
      <c r="C12" s="5" t="s">
        <v>81</v>
      </c>
      <c r="D12" s="10" t="s">
        <v>56</v>
      </c>
      <c r="E12" s="10" t="s">
        <v>12</v>
      </c>
      <c r="F12" s="10" t="s">
        <v>14</v>
      </c>
      <c r="G12" s="5" t="s">
        <v>82</v>
      </c>
      <c r="H12" s="5" t="s">
        <v>359</v>
      </c>
      <c r="I12" s="2" t="s">
        <v>360</v>
      </c>
      <c r="J12" s="19">
        <v>46283</v>
      </c>
      <c r="K12" s="19">
        <v>46292</v>
      </c>
      <c r="L12" s="11"/>
      <c r="M12" s="11"/>
    </row>
    <row r="13" spans="1:13" ht="34.799999999999997" customHeight="1" x14ac:dyDescent="0.4">
      <c r="A13" s="5" t="s">
        <v>83</v>
      </c>
      <c r="B13" s="5" t="s">
        <v>84</v>
      </c>
      <c r="C13" s="5" t="s">
        <v>85</v>
      </c>
      <c r="D13" s="10" t="s">
        <v>56</v>
      </c>
      <c r="E13" s="10" t="s">
        <v>12</v>
      </c>
      <c r="F13" s="10" t="s">
        <v>14</v>
      </c>
      <c r="G13" s="5" t="s">
        <v>86</v>
      </c>
      <c r="H13" s="5" t="s">
        <v>87</v>
      </c>
      <c r="I13" s="2" t="s">
        <v>88</v>
      </c>
      <c r="J13" s="19">
        <v>46283</v>
      </c>
      <c r="K13" s="11"/>
      <c r="L13" s="11"/>
      <c r="M13" s="11"/>
    </row>
    <row r="14" spans="1:13" ht="34.799999999999997" customHeight="1" x14ac:dyDescent="0.4">
      <c r="A14" s="5" t="s">
        <v>89</v>
      </c>
      <c r="B14" s="5" t="s">
        <v>84</v>
      </c>
      <c r="C14" s="5" t="s">
        <v>90</v>
      </c>
      <c r="D14" s="10" t="s">
        <v>56</v>
      </c>
      <c r="E14" s="10" t="s">
        <v>91</v>
      </c>
      <c r="F14" s="10" t="s">
        <v>18</v>
      </c>
      <c r="G14" s="5" t="s">
        <v>67</v>
      </c>
      <c r="H14" s="5" t="s">
        <v>92</v>
      </c>
      <c r="I14" s="2" t="s">
        <v>93</v>
      </c>
      <c r="J14" s="19">
        <v>46283</v>
      </c>
      <c r="K14" s="11"/>
      <c r="L14" s="11"/>
      <c r="M14" s="11"/>
    </row>
    <row r="15" spans="1:13" ht="34.799999999999997" customHeight="1" x14ac:dyDescent="0.4">
      <c r="A15" s="5" t="s">
        <v>94</v>
      </c>
      <c r="B15" s="5" t="s">
        <v>84</v>
      </c>
      <c r="C15" s="5" t="s">
        <v>95</v>
      </c>
      <c r="D15" s="10" t="s">
        <v>56</v>
      </c>
      <c r="E15" s="10" t="s">
        <v>12</v>
      </c>
      <c r="F15" s="10" t="s">
        <v>14</v>
      </c>
      <c r="G15" s="5" t="s">
        <v>96</v>
      </c>
      <c r="H15" s="5" t="s">
        <v>97</v>
      </c>
      <c r="I15" s="2" t="s">
        <v>98</v>
      </c>
      <c r="J15" s="19">
        <v>46283</v>
      </c>
      <c r="K15" s="11"/>
      <c r="L15" s="11"/>
      <c r="M15" s="11"/>
    </row>
    <row r="16" spans="1:13" ht="34.799999999999997" customHeight="1" x14ac:dyDescent="0.4">
      <c r="A16" s="5" t="s">
        <v>99</v>
      </c>
      <c r="B16" s="5" t="s">
        <v>84</v>
      </c>
      <c r="C16" s="5" t="s">
        <v>100</v>
      </c>
      <c r="D16" s="10" t="s">
        <v>56</v>
      </c>
      <c r="E16" s="10" t="s">
        <v>12</v>
      </c>
      <c r="F16" s="10" t="s">
        <v>14</v>
      </c>
      <c r="G16" s="5" t="s">
        <v>96</v>
      </c>
      <c r="H16" s="5" t="s">
        <v>101</v>
      </c>
      <c r="I16" s="2" t="s">
        <v>102</v>
      </c>
      <c r="J16" s="19">
        <v>46283</v>
      </c>
      <c r="K16" s="11"/>
      <c r="L16" s="11"/>
      <c r="M16" s="11"/>
    </row>
    <row r="17" spans="1:13" ht="34.799999999999997" customHeight="1" x14ac:dyDescent="0.4">
      <c r="A17" s="5" t="s">
        <v>103</v>
      </c>
      <c r="B17" s="5" t="s">
        <v>104</v>
      </c>
      <c r="C17" s="5" t="s">
        <v>105</v>
      </c>
      <c r="D17" s="10" t="s">
        <v>56</v>
      </c>
      <c r="E17" s="10" t="s">
        <v>12</v>
      </c>
      <c r="F17" s="10" t="s">
        <v>18</v>
      </c>
      <c r="G17" s="5" t="s">
        <v>106</v>
      </c>
      <c r="H17" s="5" t="s">
        <v>107</v>
      </c>
      <c r="I17" s="2" t="s">
        <v>108</v>
      </c>
      <c r="J17" s="19">
        <v>46283</v>
      </c>
      <c r="K17" s="11"/>
      <c r="L17" s="11"/>
      <c r="M17" s="11"/>
    </row>
    <row r="18" spans="1:13" ht="34.799999999999997" customHeight="1" x14ac:dyDescent="0.4">
      <c r="A18" s="5" t="s">
        <v>109</v>
      </c>
      <c r="B18" s="5" t="s">
        <v>104</v>
      </c>
      <c r="C18" s="5" t="s">
        <v>110</v>
      </c>
      <c r="D18" s="10" t="s">
        <v>56</v>
      </c>
      <c r="E18" s="10" t="s">
        <v>12</v>
      </c>
      <c r="F18" s="10" t="s">
        <v>14</v>
      </c>
      <c r="G18" s="5" t="s">
        <v>111</v>
      </c>
      <c r="H18" s="5" t="s">
        <v>112</v>
      </c>
      <c r="I18" s="2" t="s">
        <v>113</v>
      </c>
      <c r="J18" s="19">
        <v>46283</v>
      </c>
      <c r="K18" s="11"/>
      <c r="L18" s="11"/>
      <c r="M18" s="11"/>
    </row>
    <row r="19" spans="1:13" ht="34.799999999999997" customHeight="1" x14ac:dyDescent="0.4">
      <c r="A19" s="5" t="s">
        <v>114</v>
      </c>
      <c r="B19" s="5" t="s">
        <v>104</v>
      </c>
      <c r="C19" s="5" t="s">
        <v>115</v>
      </c>
      <c r="D19" s="10" t="s">
        <v>56</v>
      </c>
      <c r="E19" s="10" t="s">
        <v>12</v>
      </c>
      <c r="F19" s="10" t="s">
        <v>14</v>
      </c>
      <c r="G19" s="5" t="s">
        <v>116</v>
      </c>
      <c r="H19" s="5" t="s">
        <v>117</v>
      </c>
      <c r="I19" s="2" t="s">
        <v>118</v>
      </c>
      <c r="J19" s="19">
        <v>46283</v>
      </c>
      <c r="K19" s="11"/>
      <c r="L19" s="11"/>
      <c r="M19" s="11"/>
    </row>
    <row r="20" spans="1:13" ht="34.799999999999997" customHeight="1" x14ac:dyDescent="0.4">
      <c r="A20" s="5" t="s">
        <v>119</v>
      </c>
      <c r="B20" s="5" t="s">
        <v>120</v>
      </c>
      <c r="C20" s="5" t="s">
        <v>121</v>
      </c>
      <c r="D20" s="10" t="s">
        <v>56</v>
      </c>
      <c r="E20" s="10" t="s">
        <v>12</v>
      </c>
      <c r="F20" s="10" t="s">
        <v>18</v>
      </c>
      <c r="G20" s="5" t="s">
        <v>122</v>
      </c>
      <c r="H20" s="5" t="s">
        <v>123</v>
      </c>
      <c r="I20" s="2" t="s">
        <v>124</v>
      </c>
      <c r="J20" s="19">
        <v>46283</v>
      </c>
      <c r="K20" s="11"/>
      <c r="L20" s="11"/>
      <c r="M20" s="11"/>
    </row>
    <row r="21" spans="1:13" x14ac:dyDescent="0.4">
      <c r="A21" s="5" t="s">
        <v>125</v>
      </c>
      <c r="B21" s="5" t="s">
        <v>120</v>
      </c>
      <c r="C21" s="5" t="s">
        <v>126</v>
      </c>
      <c r="D21" s="10" t="s">
        <v>56</v>
      </c>
      <c r="E21" s="10" t="s">
        <v>12</v>
      </c>
      <c r="F21" s="10" t="s">
        <v>18</v>
      </c>
      <c r="G21" s="5" t="s">
        <v>122</v>
      </c>
      <c r="H21" s="5" t="s">
        <v>127</v>
      </c>
      <c r="I21" s="2" t="s">
        <v>128</v>
      </c>
      <c r="J21" s="19">
        <v>46283</v>
      </c>
      <c r="K21" s="11"/>
      <c r="L21" s="11"/>
      <c r="M21" s="11"/>
    </row>
    <row r="22" spans="1:13" ht="34.799999999999997" customHeight="1" x14ac:dyDescent="0.4">
      <c r="A22" s="5" t="s">
        <v>129</v>
      </c>
      <c r="B22" s="5" t="s">
        <v>120</v>
      </c>
      <c r="C22" s="5" t="s">
        <v>130</v>
      </c>
      <c r="D22" s="10" t="s">
        <v>56</v>
      </c>
      <c r="E22" s="10" t="s">
        <v>12</v>
      </c>
      <c r="F22" s="10" t="s">
        <v>18</v>
      </c>
      <c r="G22" s="5" t="s">
        <v>131</v>
      </c>
      <c r="H22" s="5" t="s">
        <v>132</v>
      </c>
      <c r="I22" s="2" t="s">
        <v>133</v>
      </c>
      <c r="J22" s="19">
        <v>46283</v>
      </c>
      <c r="K22" s="11"/>
      <c r="L22" s="11"/>
      <c r="M22" s="11"/>
    </row>
    <row r="23" spans="1:13" ht="34.799999999999997" customHeight="1" x14ac:dyDescent="0.4">
      <c r="A23" s="5" t="s">
        <v>134</v>
      </c>
      <c r="B23" s="5" t="s">
        <v>120</v>
      </c>
      <c r="C23" s="5" t="s">
        <v>135</v>
      </c>
      <c r="D23" s="10" t="s">
        <v>56</v>
      </c>
      <c r="E23" s="10" t="s">
        <v>12</v>
      </c>
      <c r="F23" s="10" t="s">
        <v>76</v>
      </c>
      <c r="G23" s="5" t="s">
        <v>122</v>
      </c>
      <c r="H23" s="5" t="s">
        <v>136</v>
      </c>
      <c r="I23" s="2" t="s">
        <v>137</v>
      </c>
      <c r="J23" s="19">
        <v>46283</v>
      </c>
      <c r="K23" s="11"/>
      <c r="L23" s="11"/>
      <c r="M23" s="11"/>
    </row>
    <row r="24" spans="1:13" ht="52.2" customHeight="1" x14ac:dyDescent="0.4">
      <c r="A24" s="5" t="s">
        <v>138</v>
      </c>
      <c r="B24" s="5" t="s">
        <v>120</v>
      </c>
      <c r="C24" s="5" t="s">
        <v>139</v>
      </c>
      <c r="D24" s="10" t="s">
        <v>56</v>
      </c>
      <c r="E24" s="10" t="s">
        <v>12</v>
      </c>
      <c r="F24" s="10" t="s">
        <v>18</v>
      </c>
      <c r="G24" s="5" t="s">
        <v>140</v>
      </c>
      <c r="H24" s="5" t="s">
        <v>141</v>
      </c>
      <c r="I24" s="2" t="s">
        <v>142</v>
      </c>
      <c r="J24" s="19">
        <v>46283</v>
      </c>
      <c r="K24" s="11"/>
      <c r="L24" s="11"/>
      <c r="M24" s="11"/>
    </row>
    <row r="25" spans="1:13" ht="34.799999999999997" customHeight="1" x14ac:dyDescent="0.4">
      <c r="A25" s="5" t="s">
        <v>143</v>
      </c>
      <c r="B25" s="5" t="s">
        <v>120</v>
      </c>
      <c r="C25" s="5" t="s">
        <v>144</v>
      </c>
      <c r="D25" s="10" t="s">
        <v>56</v>
      </c>
      <c r="E25" s="10" t="s">
        <v>12</v>
      </c>
      <c r="F25" s="10" t="s">
        <v>14</v>
      </c>
      <c r="G25" s="5" t="s">
        <v>145</v>
      </c>
      <c r="H25" s="5" t="s">
        <v>146</v>
      </c>
      <c r="I25" s="2" t="s">
        <v>147</v>
      </c>
      <c r="J25" s="19">
        <v>46283</v>
      </c>
      <c r="K25" s="11"/>
      <c r="L25" s="11"/>
      <c r="M25" s="11"/>
    </row>
    <row r="26" spans="1:13" x14ac:dyDescent="0.4">
      <c r="A26" s="5" t="s">
        <v>148</v>
      </c>
      <c r="B26" s="5" t="s">
        <v>149</v>
      </c>
      <c r="C26" s="5" t="s">
        <v>150</v>
      </c>
      <c r="D26" s="10" t="s">
        <v>56</v>
      </c>
      <c r="E26" s="10" t="s">
        <v>12</v>
      </c>
      <c r="F26" s="10" t="s">
        <v>14</v>
      </c>
      <c r="G26" s="5" t="s">
        <v>151</v>
      </c>
      <c r="H26" s="5" t="s">
        <v>152</v>
      </c>
      <c r="I26" s="2" t="s">
        <v>153</v>
      </c>
      <c r="J26" s="19">
        <v>46283</v>
      </c>
      <c r="K26" s="11"/>
      <c r="L26" s="11"/>
      <c r="M26" s="11"/>
    </row>
    <row r="27" spans="1:13" ht="34.799999999999997" customHeight="1" x14ac:dyDescent="0.4">
      <c r="A27" s="5" t="s">
        <v>154</v>
      </c>
      <c r="B27" s="5" t="s">
        <v>149</v>
      </c>
      <c r="C27" s="5" t="s">
        <v>155</v>
      </c>
      <c r="D27" s="10" t="s">
        <v>56</v>
      </c>
      <c r="E27" s="10" t="s">
        <v>12</v>
      </c>
      <c r="F27" s="10" t="s">
        <v>14</v>
      </c>
      <c r="G27" s="5" t="s">
        <v>151</v>
      </c>
      <c r="H27" s="5" t="s">
        <v>156</v>
      </c>
      <c r="I27" s="2" t="s">
        <v>157</v>
      </c>
      <c r="J27" s="19">
        <v>46283</v>
      </c>
      <c r="K27" s="11"/>
      <c r="L27" s="11"/>
      <c r="M27" s="11"/>
    </row>
    <row r="28" spans="1:13" ht="34.799999999999997" customHeight="1" x14ac:dyDescent="0.4">
      <c r="A28" s="5" t="s">
        <v>158</v>
      </c>
      <c r="B28" s="5" t="s">
        <v>149</v>
      </c>
      <c r="C28" s="5" t="s">
        <v>159</v>
      </c>
      <c r="D28" s="10" t="s">
        <v>56</v>
      </c>
      <c r="E28" s="10" t="s">
        <v>12</v>
      </c>
      <c r="F28" s="10" t="s">
        <v>18</v>
      </c>
      <c r="G28" s="5" t="s">
        <v>160</v>
      </c>
      <c r="H28" s="5" t="s">
        <v>161</v>
      </c>
      <c r="I28" s="2" t="s">
        <v>162</v>
      </c>
      <c r="J28" s="19">
        <v>46283</v>
      </c>
      <c r="K28" s="11"/>
      <c r="L28" s="11"/>
      <c r="M28" s="11"/>
    </row>
    <row r="29" spans="1:13" ht="34.799999999999997" customHeight="1" x14ac:dyDescent="0.4">
      <c r="A29" s="5" t="s">
        <v>163</v>
      </c>
      <c r="B29" s="5" t="s">
        <v>149</v>
      </c>
      <c r="C29" s="5" t="s">
        <v>164</v>
      </c>
      <c r="D29" s="10" t="s">
        <v>56</v>
      </c>
      <c r="E29" s="10" t="s">
        <v>91</v>
      </c>
      <c r="F29" s="10" t="s">
        <v>76</v>
      </c>
      <c r="G29" s="5" t="s">
        <v>165</v>
      </c>
      <c r="H29" s="5" t="s">
        <v>166</v>
      </c>
      <c r="I29" s="2" t="s">
        <v>167</v>
      </c>
      <c r="J29" s="19">
        <v>46283</v>
      </c>
      <c r="K29" s="11"/>
      <c r="L29" s="11"/>
      <c r="M29" s="11"/>
    </row>
    <row r="30" spans="1:13" ht="34.799999999999997" customHeight="1" x14ac:dyDescent="0.4">
      <c r="A30" s="5" t="s">
        <v>168</v>
      </c>
      <c r="B30" s="5" t="s">
        <v>169</v>
      </c>
      <c r="C30" s="5" t="s">
        <v>170</v>
      </c>
      <c r="D30" s="10" t="s">
        <v>56</v>
      </c>
      <c r="E30" s="10" t="s">
        <v>12</v>
      </c>
      <c r="F30" s="10" t="s">
        <v>18</v>
      </c>
      <c r="G30" s="5" t="s">
        <v>171</v>
      </c>
      <c r="H30" s="5" t="s">
        <v>172</v>
      </c>
      <c r="I30" s="2" t="s">
        <v>173</v>
      </c>
      <c r="J30" s="19">
        <v>46283</v>
      </c>
      <c r="K30" s="11"/>
      <c r="L30" s="11"/>
      <c r="M30" s="11"/>
    </row>
    <row r="31" spans="1:13" ht="52.2" customHeight="1" x14ac:dyDescent="0.4">
      <c r="A31" s="5" t="s">
        <v>174</v>
      </c>
      <c r="B31" s="5" t="s">
        <v>169</v>
      </c>
      <c r="C31" s="5" t="s">
        <v>175</v>
      </c>
      <c r="D31" s="10" t="s">
        <v>56</v>
      </c>
      <c r="E31" s="10" t="s">
        <v>12</v>
      </c>
      <c r="F31" s="10" t="s">
        <v>14</v>
      </c>
      <c r="G31" s="5" t="s">
        <v>176</v>
      </c>
      <c r="H31" s="5" t="s">
        <v>177</v>
      </c>
      <c r="I31" s="2" t="s">
        <v>178</v>
      </c>
      <c r="J31" s="19">
        <v>46283</v>
      </c>
      <c r="K31" s="11"/>
      <c r="L31" s="11"/>
      <c r="M31" s="11"/>
    </row>
    <row r="32" spans="1:13" ht="34.799999999999997" customHeight="1" x14ac:dyDescent="0.4">
      <c r="A32" s="5" t="s">
        <v>179</v>
      </c>
      <c r="B32" s="5" t="s">
        <v>169</v>
      </c>
      <c r="C32" s="5" t="s">
        <v>180</v>
      </c>
      <c r="D32" s="10" t="s">
        <v>56</v>
      </c>
      <c r="E32" s="10" t="s">
        <v>12</v>
      </c>
      <c r="F32" s="10" t="s">
        <v>14</v>
      </c>
      <c r="G32" s="5" t="s">
        <v>181</v>
      </c>
      <c r="H32" s="5" t="s">
        <v>182</v>
      </c>
      <c r="I32" s="2" t="s">
        <v>183</v>
      </c>
      <c r="J32" s="19">
        <v>46283</v>
      </c>
      <c r="K32" s="11"/>
      <c r="L32" s="11"/>
      <c r="M32" s="11"/>
    </row>
    <row r="33" spans="1:13" ht="52.2" customHeight="1" x14ac:dyDescent="0.4">
      <c r="A33" s="5" t="s">
        <v>184</v>
      </c>
      <c r="B33" s="5" t="s">
        <v>169</v>
      </c>
      <c r="C33" s="5" t="s">
        <v>185</v>
      </c>
      <c r="D33" s="10" t="s">
        <v>56</v>
      </c>
      <c r="E33" s="10" t="s">
        <v>12</v>
      </c>
      <c r="F33" s="10" t="s">
        <v>14</v>
      </c>
      <c r="G33" s="5" t="s">
        <v>176</v>
      </c>
      <c r="H33" s="5" t="s">
        <v>186</v>
      </c>
      <c r="I33" s="2" t="s">
        <v>187</v>
      </c>
      <c r="J33" s="19">
        <v>46283</v>
      </c>
      <c r="K33" s="11"/>
      <c r="L33" s="11"/>
      <c r="M33" s="11"/>
    </row>
    <row r="34" spans="1:13" ht="34.799999999999997" customHeight="1" x14ac:dyDescent="0.4">
      <c r="A34" s="5" t="s">
        <v>188</v>
      </c>
      <c r="B34" s="5" t="s">
        <v>169</v>
      </c>
      <c r="C34" s="5" t="s">
        <v>189</v>
      </c>
      <c r="D34" s="10" t="s">
        <v>56</v>
      </c>
      <c r="E34" s="10" t="s">
        <v>12</v>
      </c>
      <c r="F34" s="10" t="s">
        <v>14</v>
      </c>
      <c r="G34" s="5" t="s">
        <v>190</v>
      </c>
      <c r="H34" s="5" t="s">
        <v>191</v>
      </c>
      <c r="I34" s="2" t="s">
        <v>192</v>
      </c>
      <c r="J34" s="19">
        <v>46283</v>
      </c>
      <c r="K34" s="11"/>
      <c r="L34" s="11"/>
      <c r="M34" s="11"/>
    </row>
    <row r="35" spans="1:13" ht="34.799999999999997" customHeight="1" x14ac:dyDescent="0.4">
      <c r="A35" s="5" t="s">
        <v>193</v>
      </c>
      <c r="B35" s="5" t="s">
        <v>194</v>
      </c>
      <c r="C35" s="5" t="s">
        <v>195</v>
      </c>
      <c r="D35" s="10" t="s">
        <v>56</v>
      </c>
      <c r="E35" s="10" t="s">
        <v>12</v>
      </c>
      <c r="F35" s="10" t="s">
        <v>18</v>
      </c>
      <c r="G35" s="5" t="s">
        <v>196</v>
      </c>
      <c r="H35" s="5" t="s">
        <v>197</v>
      </c>
      <c r="I35" s="2" t="s">
        <v>198</v>
      </c>
      <c r="J35" s="19">
        <v>46283</v>
      </c>
      <c r="K35" s="11"/>
      <c r="L35" s="11"/>
      <c r="M35" s="11"/>
    </row>
    <row r="36" spans="1:13" ht="34.799999999999997" customHeight="1" x14ac:dyDescent="0.4">
      <c r="A36" s="5" t="s">
        <v>199</v>
      </c>
      <c r="B36" s="5" t="s">
        <v>194</v>
      </c>
      <c r="C36" s="5" t="s">
        <v>200</v>
      </c>
      <c r="D36" s="10" t="s">
        <v>56</v>
      </c>
      <c r="E36" s="10" t="s">
        <v>12</v>
      </c>
      <c r="F36" s="10" t="s">
        <v>18</v>
      </c>
      <c r="G36" s="5" t="s">
        <v>151</v>
      </c>
      <c r="H36" s="5" t="s">
        <v>201</v>
      </c>
      <c r="I36" s="2" t="s">
        <v>202</v>
      </c>
      <c r="J36" s="19">
        <v>46283</v>
      </c>
      <c r="K36" s="11"/>
      <c r="L36" s="11"/>
      <c r="M36" s="11"/>
    </row>
    <row r="37" spans="1:13" ht="34.799999999999997" customHeight="1" x14ac:dyDescent="0.4">
      <c r="A37" s="5" t="s">
        <v>203</v>
      </c>
      <c r="B37" s="5" t="s">
        <v>194</v>
      </c>
      <c r="C37" s="5" t="s">
        <v>204</v>
      </c>
      <c r="D37" s="10" t="s">
        <v>56</v>
      </c>
      <c r="E37" s="10" t="s">
        <v>12</v>
      </c>
      <c r="F37" s="10" t="s">
        <v>14</v>
      </c>
      <c r="G37" s="5" t="s">
        <v>151</v>
      </c>
      <c r="H37" s="5" t="s">
        <v>205</v>
      </c>
      <c r="I37" s="2" t="s">
        <v>206</v>
      </c>
      <c r="J37" s="19">
        <v>46283</v>
      </c>
      <c r="K37" s="11"/>
      <c r="L37" s="11"/>
      <c r="M37" s="11"/>
    </row>
    <row r="38" spans="1:13" ht="34.799999999999997" customHeight="1" x14ac:dyDescent="0.4">
      <c r="A38" s="5" t="s">
        <v>207</v>
      </c>
      <c r="B38" s="5" t="s">
        <v>194</v>
      </c>
      <c r="C38" s="5" t="s">
        <v>208</v>
      </c>
      <c r="D38" s="10" t="s">
        <v>56</v>
      </c>
      <c r="E38" s="10" t="s">
        <v>209</v>
      </c>
      <c r="F38" s="10" t="s">
        <v>14</v>
      </c>
      <c r="G38" s="5" t="s">
        <v>151</v>
      </c>
      <c r="H38" s="5" t="s">
        <v>210</v>
      </c>
      <c r="I38" s="2" t="s">
        <v>211</v>
      </c>
      <c r="J38" s="19">
        <v>46283</v>
      </c>
      <c r="K38" s="11"/>
      <c r="L38" s="11"/>
      <c r="M38" s="11"/>
    </row>
    <row r="39" spans="1:13" ht="34.799999999999997" customHeight="1" x14ac:dyDescent="0.4">
      <c r="A39" s="5" t="s">
        <v>212</v>
      </c>
      <c r="B39" s="5" t="s">
        <v>194</v>
      </c>
      <c r="C39" s="5" t="s">
        <v>213</v>
      </c>
      <c r="D39" s="10" t="s">
        <v>56</v>
      </c>
      <c r="E39" s="10" t="s">
        <v>12</v>
      </c>
      <c r="F39" s="10" t="s">
        <v>14</v>
      </c>
      <c r="G39" s="5" t="s">
        <v>151</v>
      </c>
      <c r="H39" s="5" t="s">
        <v>214</v>
      </c>
      <c r="I39" s="2" t="s">
        <v>215</v>
      </c>
      <c r="J39" s="19">
        <v>46283</v>
      </c>
      <c r="K39" s="11"/>
      <c r="L39" s="11"/>
      <c r="M39" s="11"/>
    </row>
    <row r="40" spans="1:13" x14ac:dyDescent="0.4">
      <c r="A40" s="5" t="s">
        <v>216</v>
      </c>
      <c r="B40" s="5" t="s">
        <v>194</v>
      </c>
      <c r="C40" s="5" t="s">
        <v>217</v>
      </c>
      <c r="D40" s="10" t="s">
        <v>56</v>
      </c>
      <c r="E40" s="10" t="s">
        <v>12</v>
      </c>
      <c r="F40" s="10" t="s">
        <v>14</v>
      </c>
      <c r="G40" s="5" t="s">
        <v>96</v>
      </c>
      <c r="H40" s="5" t="s">
        <v>218</v>
      </c>
      <c r="I40" s="2" t="s">
        <v>219</v>
      </c>
      <c r="J40" s="19">
        <v>46283</v>
      </c>
      <c r="K40" s="11"/>
      <c r="L40" s="11"/>
      <c r="M40" s="11"/>
    </row>
    <row r="41" spans="1:13" x14ac:dyDescent="0.4">
      <c r="A41" s="5" t="s">
        <v>220</v>
      </c>
      <c r="B41" s="5" t="s">
        <v>194</v>
      </c>
      <c r="C41" s="5" t="s">
        <v>221</v>
      </c>
      <c r="D41" s="10" t="s">
        <v>56</v>
      </c>
      <c r="E41" s="10" t="s">
        <v>209</v>
      </c>
      <c r="F41" s="10" t="s">
        <v>18</v>
      </c>
      <c r="G41" s="5" t="s">
        <v>222</v>
      </c>
      <c r="H41" s="5" t="s">
        <v>223</v>
      </c>
      <c r="I41" s="2" t="s">
        <v>224</v>
      </c>
      <c r="J41" s="19">
        <v>46283</v>
      </c>
      <c r="K41" s="11"/>
      <c r="L41" s="11"/>
      <c r="M41" s="11"/>
    </row>
    <row r="42" spans="1:13" ht="34.799999999999997" customHeight="1" x14ac:dyDescent="0.4">
      <c r="A42" s="5" t="s">
        <v>225</v>
      </c>
      <c r="B42" s="5" t="s">
        <v>226</v>
      </c>
      <c r="C42" s="5" t="s">
        <v>227</v>
      </c>
      <c r="D42" s="10" t="s">
        <v>56</v>
      </c>
      <c r="E42" s="10" t="s">
        <v>12</v>
      </c>
      <c r="F42" s="10" t="s">
        <v>14</v>
      </c>
      <c r="G42" s="5" t="s">
        <v>228</v>
      </c>
      <c r="H42" s="5" t="s">
        <v>229</v>
      </c>
      <c r="I42" s="2" t="s">
        <v>230</v>
      </c>
      <c r="J42" s="19">
        <v>46283</v>
      </c>
      <c r="K42" s="11"/>
      <c r="L42" s="11"/>
      <c r="M42" s="11"/>
    </row>
    <row r="43" spans="1:13" x14ac:dyDescent="0.4">
      <c r="A43" s="5" t="s">
        <v>231</v>
      </c>
      <c r="B43" s="5" t="s">
        <v>226</v>
      </c>
      <c r="C43" s="5" t="s">
        <v>232</v>
      </c>
      <c r="D43" s="10" t="s">
        <v>56</v>
      </c>
      <c r="E43" s="10" t="s">
        <v>12</v>
      </c>
      <c r="F43" s="10" t="s">
        <v>14</v>
      </c>
      <c r="G43" s="5" t="s">
        <v>233</v>
      </c>
      <c r="H43" s="5" t="s">
        <v>234</v>
      </c>
      <c r="I43" s="2" t="s">
        <v>235</v>
      </c>
      <c r="J43" s="19">
        <v>46283</v>
      </c>
      <c r="K43" s="11"/>
      <c r="L43" s="11"/>
      <c r="M43" s="11"/>
    </row>
    <row r="44" spans="1:13" ht="34.799999999999997" customHeight="1" x14ac:dyDescent="0.4">
      <c r="A44" s="5" t="s">
        <v>236</v>
      </c>
      <c r="B44" s="5" t="s">
        <v>237</v>
      </c>
      <c r="C44" s="5" t="s">
        <v>238</v>
      </c>
      <c r="D44" s="10" t="s">
        <v>239</v>
      </c>
      <c r="E44" s="10" t="s">
        <v>12</v>
      </c>
      <c r="F44" s="10" t="s">
        <v>14</v>
      </c>
      <c r="G44" s="5" t="s">
        <v>240</v>
      </c>
      <c r="H44" s="5" t="s">
        <v>241</v>
      </c>
      <c r="I44" s="2" t="s">
        <v>242</v>
      </c>
      <c r="J44" s="19">
        <v>46283</v>
      </c>
      <c r="K44" s="11"/>
      <c r="L44" s="11"/>
      <c r="M44" s="11"/>
    </row>
    <row r="45" spans="1:13" x14ac:dyDescent="0.4">
      <c r="A45" s="5" t="s">
        <v>243</v>
      </c>
      <c r="B45" s="5" t="s">
        <v>237</v>
      </c>
      <c r="C45" s="5" t="s">
        <v>244</v>
      </c>
      <c r="D45" s="10" t="s">
        <v>239</v>
      </c>
      <c r="E45" s="10" t="s">
        <v>12</v>
      </c>
      <c r="F45" s="10" t="s">
        <v>14</v>
      </c>
      <c r="G45" s="5" t="s">
        <v>245</v>
      </c>
      <c r="H45" s="5" t="s">
        <v>246</v>
      </c>
      <c r="I45" s="2" t="s">
        <v>247</v>
      </c>
      <c r="J45" s="19">
        <v>46283</v>
      </c>
      <c r="K45" s="11"/>
      <c r="L45" s="11"/>
      <c r="M45" s="11"/>
    </row>
    <row r="46" spans="1:13" x14ac:dyDescent="0.4">
      <c r="A46" s="5" t="s">
        <v>248</v>
      </c>
      <c r="B46" s="5" t="s">
        <v>237</v>
      </c>
      <c r="C46" s="5" t="s">
        <v>249</v>
      </c>
      <c r="D46" s="10" t="s">
        <v>239</v>
      </c>
      <c r="E46" s="10" t="s">
        <v>91</v>
      </c>
      <c r="F46" s="10" t="s">
        <v>76</v>
      </c>
      <c r="G46" s="5" t="s">
        <v>250</v>
      </c>
      <c r="H46" s="5" t="s">
        <v>251</v>
      </c>
      <c r="I46" s="2" t="s">
        <v>252</v>
      </c>
      <c r="J46" s="19">
        <v>46283</v>
      </c>
      <c r="K46" s="11"/>
      <c r="L46" s="11"/>
      <c r="M46" s="11"/>
    </row>
    <row r="47" spans="1:13" x14ac:dyDescent="0.4">
      <c r="A47" s="5" t="s">
        <v>253</v>
      </c>
      <c r="B47" s="5" t="s">
        <v>254</v>
      </c>
      <c r="C47" s="5" t="s">
        <v>255</v>
      </c>
      <c r="D47" s="10" t="s">
        <v>239</v>
      </c>
      <c r="E47" s="10" t="s">
        <v>12</v>
      </c>
      <c r="F47" s="10" t="s">
        <v>14</v>
      </c>
      <c r="G47" s="5" t="s">
        <v>256</v>
      </c>
      <c r="H47" s="5" t="s">
        <v>257</v>
      </c>
      <c r="I47" s="2" t="s">
        <v>258</v>
      </c>
      <c r="J47" s="19">
        <v>46283</v>
      </c>
      <c r="K47" s="11"/>
      <c r="L47" s="11"/>
      <c r="M47" s="11"/>
    </row>
    <row r="48" spans="1:13" ht="34.799999999999997" customHeight="1" x14ac:dyDescent="0.4">
      <c r="A48" s="5" t="s">
        <v>259</v>
      </c>
      <c r="B48" s="5" t="s">
        <v>254</v>
      </c>
      <c r="C48" s="5" t="s">
        <v>260</v>
      </c>
      <c r="D48" s="10" t="s">
        <v>239</v>
      </c>
      <c r="E48" s="10" t="s">
        <v>12</v>
      </c>
      <c r="F48" s="10" t="s">
        <v>14</v>
      </c>
      <c r="G48" s="5" t="s">
        <v>261</v>
      </c>
      <c r="H48" s="5" t="s">
        <v>262</v>
      </c>
      <c r="I48" s="2" t="s">
        <v>263</v>
      </c>
      <c r="J48" s="19">
        <v>46283</v>
      </c>
      <c r="K48" s="11"/>
      <c r="L48" s="11"/>
      <c r="M48" s="11"/>
    </row>
    <row r="49" spans="1:13" x14ac:dyDescent="0.4">
      <c r="A49" s="5" t="s">
        <v>264</v>
      </c>
      <c r="B49" s="5" t="s">
        <v>254</v>
      </c>
      <c r="C49" s="5" t="s">
        <v>265</v>
      </c>
      <c r="D49" s="10" t="s">
        <v>239</v>
      </c>
      <c r="E49" s="10" t="s">
        <v>12</v>
      </c>
      <c r="F49" s="10" t="s">
        <v>14</v>
      </c>
      <c r="G49" s="5" t="s">
        <v>266</v>
      </c>
      <c r="H49" s="5" t="s">
        <v>267</v>
      </c>
      <c r="I49" s="2" t="s">
        <v>268</v>
      </c>
      <c r="J49" s="19">
        <v>46283</v>
      </c>
      <c r="K49" s="11"/>
      <c r="L49" s="11"/>
      <c r="M49" s="11"/>
    </row>
    <row r="50" spans="1:13" ht="34.799999999999997" customHeight="1" x14ac:dyDescent="0.4">
      <c r="A50" s="5" t="s">
        <v>269</v>
      </c>
      <c r="B50" s="5" t="s">
        <v>270</v>
      </c>
      <c r="C50" s="5" t="s">
        <v>271</v>
      </c>
      <c r="D50" s="10" t="s">
        <v>239</v>
      </c>
      <c r="E50" s="10" t="s">
        <v>12</v>
      </c>
      <c r="F50" s="10" t="s">
        <v>14</v>
      </c>
      <c r="G50" s="5" t="s">
        <v>272</v>
      </c>
      <c r="H50" s="5" t="s">
        <v>273</v>
      </c>
      <c r="I50" s="2" t="s">
        <v>274</v>
      </c>
      <c r="J50" s="19">
        <v>46283</v>
      </c>
      <c r="K50" s="11"/>
      <c r="L50" s="11"/>
      <c r="M50" s="11"/>
    </row>
    <row r="51" spans="1:13" x14ac:dyDescent="0.4">
      <c r="A51" s="5" t="s">
        <v>275</v>
      </c>
      <c r="B51" s="5" t="s">
        <v>270</v>
      </c>
      <c r="C51" s="5" t="s">
        <v>276</v>
      </c>
      <c r="D51" s="10" t="s">
        <v>239</v>
      </c>
      <c r="E51" s="10" t="s">
        <v>91</v>
      </c>
      <c r="F51" s="10" t="s">
        <v>14</v>
      </c>
      <c r="G51" s="5" t="s">
        <v>277</v>
      </c>
      <c r="H51" s="5" t="s">
        <v>278</v>
      </c>
      <c r="I51" s="2" t="s">
        <v>279</v>
      </c>
      <c r="J51" s="19">
        <v>46283</v>
      </c>
      <c r="K51" s="11"/>
      <c r="L51" s="11"/>
      <c r="M51" s="11"/>
    </row>
    <row r="52" spans="1:13" x14ac:dyDescent="0.4">
      <c r="A52" s="5" t="s">
        <v>280</v>
      </c>
      <c r="B52" s="5" t="s">
        <v>270</v>
      </c>
      <c r="C52" s="5" t="s">
        <v>281</v>
      </c>
      <c r="D52" s="10" t="s">
        <v>239</v>
      </c>
      <c r="E52" s="10" t="s">
        <v>12</v>
      </c>
      <c r="F52" s="10" t="s">
        <v>76</v>
      </c>
      <c r="G52" s="5" t="s">
        <v>282</v>
      </c>
      <c r="H52" s="5" t="s">
        <v>283</v>
      </c>
      <c r="I52" s="2" t="s">
        <v>284</v>
      </c>
      <c r="J52" s="19">
        <v>46283</v>
      </c>
      <c r="K52" s="11"/>
      <c r="L52" s="11"/>
      <c r="M52" s="11"/>
    </row>
    <row r="53" spans="1:13" x14ac:dyDescent="0.4">
      <c r="A53" s="5" t="s">
        <v>285</v>
      </c>
      <c r="B53" s="5" t="s">
        <v>286</v>
      </c>
      <c r="C53" s="5" t="s">
        <v>287</v>
      </c>
      <c r="D53" s="10" t="s">
        <v>239</v>
      </c>
      <c r="E53" s="10" t="s">
        <v>12</v>
      </c>
      <c r="F53" s="10" t="s">
        <v>14</v>
      </c>
      <c r="G53" s="5" t="s">
        <v>288</v>
      </c>
      <c r="H53" s="5" t="s">
        <v>289</v>
      </c>
      <c r="I53" s="2" t="s">
        <v>290</v>
      </c>
      <c r="J53" s="19">
        <v>46283</v>
      </c>
      <c r="K53" s="11"/>
      <c r="L53" s="11"/>
      <c r="M53" s="11"/>
    </row>
    <row r="54" spans="1:13" x14ac:dyDescent="0.4">
      <c r="A54" s="5" t="s">
        <v>291</v>
      </c>
      <c r="B54" s="5" t="s">
        <v>286</v>
      </c>
      <c r="C54" s="5" t="s">
        <v>292</v>
      </c>
      <c r="D54" s="10" t="s">
        <v>239</v>
      </c>
      <c r="E54" s="10" t="s">
        <v>91</v>
      </c>
      <c r="F54" s="10" t="s">
        <v>76</v>
      </c>
      <c r="G54" s="5" t="s">
        <v>293</v>
      </c>
      <c r="H54" s="5" t="s">
        <v>294</v>
      </c>
      <c r="I54" s="2" t="s">
        <v>295</v>
      </c>
      <c r="J54" s="19">
        <v>46283</v>
      </c>
      <c r="K54" s="11"/>
      <c r="L54" s="11"/>
      <c r="M54" s="11"/>
    </row>
  </sheetData>
  <autoFilter ref="A5:M54" xr:uid="{00000000-0009-0000-0000-000001000000}"/>
  <mergeCells count="2">
    <mergeCell ref="A3:C3"/>
    <mergeCell ref="A2:C2"/>
  </mergeCells>
  <phoneticPr fontId="4" type="noConversion"/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입력" error="목록에 있는 값만 선택할 수 있습니다." promptTitle="선택" prompt="목록에서 고릅니다." xr:uid="{00000000-0002-0000-0100-000000000000}">
          <x14:formula1>
            <xm:f>목록값!$A$1:$A$2</xm:f>
          </x14:formula1>
          <xm:sqref>D6:D200</xm:sqref>
        </x14:dataValidation>
        <x14:dataValidation type="list" allowBlank="1" showInputMessage="1" showErrorMessage="1" errorTitle="입력" error="목록에 있는 값만 선택할 수 있습니다." promptTitle="선택" prompt="목록에서 고릅니다." xr:uid="{00000000-0002-0000-0100-000001000000}">
          <x14:formula1>
            <xm:f>목록값!$B$1:$B$3</xm:f>
          </x14:formula1>
          <xm:sqref>E6:E200</xm:sqref>
        </x14:dataValidation>
        <x14:dataValidation type="list" allowBlank="1" showInputMessage="1" showErrorMessage="1" errorTitle="입력" error="목록에 있는 값만 선택할 수 있습니다." promptTitle="선택" prompt="목록에서 고릅니다." xr:uid="{00000000-0002-0000-0100-000002000000}">
          <x14:formula1>
            <xm:f>목록값!$C$1:$C$3</xm:f>
          </x14:formula1>
          <xm:sqref>F6:F200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7"/>
  <sheetViews>
    <sheetView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 activeCell="A2" sqref="A2:C2"/>
    </sheetView>
  </sheetViews>
  <sheetFormatPr defaultRowHeight="17.399999999999999" x14ac:dyDescent="0.4"/>
  <cols>
    <col min="1" max="1" width="12" customWidth="1"/>
    <col min="2" max="2" width="49.09765625" customWidth="1"/>
    <col min="3" max="3" width="30.09765625" customWidth="1"/>
    <col min="4" max="5" width="12" customWidth="1"/>
    <col min="6" max="9" width="14" customWidth="1"/>
  </cols>
  <sheetData>
    <row r="2" spans="1:9" ht="25.2" customHeight="1" x14ac:dyDescent="0.4">
      <c r="A2" s="29" t="s">
        <v>296</v>
      </c>
      <c r="B2" s="21"/>
      <c r="C2" s="22"/>
    </row>
    <row r="3" spans="1:9" s="7" customFormat="1" ht="15.6" customHeight="1" x14ac:dyDescent="0.4">
      <c r="A3" s="20" t="s">
        <v>297</v>
      </c>
      <c r="B3" s="21"/>
      <c r="C3" s="22"/>
    </row>
    <row r="4" spans="1:9" s="7" customFormat="1" ht="15.6" customHeight="1" x14ac:dyDescent="0.4">
      <c r="A4" s="8"/>
      <c r="B4" s="8"/>
    </row>
    <row r="5" spans="1:9" ht="30" customHeight="1" x14ac:dyDescent="0.4">
      <c r="A5" s="1" t="s">
        <v>298</v>
      </c>
      <c r="B5" s="1" t="s">
        <v>299</v>
      </c>
      <c r="C5" s="1" t="s">
        <v>300</v>
      </c>
      <c r="D5" s="9" t="s">
        <v>3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</row>
    <row r="6" spans="1:9" x14ac:dyDescent="0.4">
      <c r="A6" s="5" t="s">
        <v>301</v>
      </c>
      <c r="B6" s="5" t="s">
        <v>302</v>
      </c>
      <c r="C6" s="5" t="s">
        <v>303</v>
      </c>
      <c r="D6" s="10" t="s">
        <v>12</v>
      </c>
      <c r="E6" s="10" t="s">
        <v>76</v>
      </c>
      <c r="F6" s="19">
        <v>46283</v>
      </c>
      <c r="G6" s="11"/>
      <c r="H6" s="11"/>
      <c r="I6" s="11"/>
    </row>
    <row r="7" spans="1:9" x14ac:dyDescent="0.4">
      <c r="A7" s="5" t="s">
        <v>304</v>
      </c>
      <c r="B7" s="5" t="s">
        <v>305</v>
      </c>
      <c r="C7" s="5" t="s">
        <v>306</v>
      </c>
      <c r="D7" s="10" t="s">
        <v>12</v>
      </c>
      <c r="E7" s="10" t="s">
        <v>14</v>
      </c>
      <c r="F7" s="19">
        <v>46283</v>
      </c>
      <c r="G7" s="11"/>
      <c r="H7" s="11"/>
      <c r="I7" s="11"/>
    </row>
    <row r="8" spans="1:9" x14ac:dyDescent="0.4">
      <c r="A8" s="5" t="s">
        <v>307</v>
      </c>
      <c r="B8" s="5" t="s">
        <v>308</v>
      </c>
      <c r="C8" s="5" t="s">
        <v>309</v>
      </c>
      <c r="D8" s="10" t="s">
        <v>12</v>
      </c>
      <c r="E8" s="10" t="s">
        <v>14</v>
      </c>
      <c r="F8" s="19">
        <v>46283</v>
      </c>
      <c r="G8" s="11"/>
      <c r="H8" s="11"/>
      <c r="I8" s="11"/>
    </row>
    <row r="9" spans="1:9" x14ac:dyDescent="0.4">
      <c r="A9" s="5" t="s">
        <v>310</v>
      </c>
      <c r="B9" s="5" t="s">
        <v>311</v>
      </c>
      <c r="C9" s="5" t="s">
        <v>309</v>
      </c>
      <c r="D9" s="10" t="s">
        <v>12</v>
      </c>
      <c r="E9" s="10" t="s">
        <v>14</v>
      </c>
      <c r="F9" s="19">
        <v>46283</v>
      </c>
      <c r="G9" s="11"/>
      <c r="H9" s="11"/>
      <c r="I9" s="11"/>
    </row>
    <row r="10" spans="1:9" x14ac:dyDescent="0.4">
      <c r="A10" s="5" t="s">
        <v>312</v>
      </c>
      <c r="B10" s="5" t="s">
        <v>313</v>
      </c>
      <c r="C10" s="5" t="s">
        <v>309</v>
      </c>
      <c r="D10" s="10" t="s">
        <v>12</v>
      </c>
      <c r="E10" s="10" t="s">
        <v>18</v>
      </c>
      <c r="F10" s="19">
        <v>46283</v>
      </c>
      <c r="G10" s="11"/>
      <c r="H10" s="11"/>
      <c r="I10" s="11"/>
    </row>
    <row r="11" spans="1:9" x14ac:dyDescent="0.4">
      <c r="A11" s="5" t="s">
        <v>314</v>
      </c>
      <c r="B11" s="5" t="s">
        <v>315</v>
      </c>
      <c r="C11" s="5" t="s">
        <v>316</v>
      </c>
      <c r="D11" s="10" t="s">
        <v>12</v>
      </c>
      <c r="E11" s="10" t="s">
        <v>14</v>
      </c>
      <c r="F11" s="19">
        <v>46283</v>
      </c>
      <c r="G11" s="11"/>
      <c r="H11" s="11"/>
      <c r="I11" s="11"/>
    </row>
    <row r="12" spans="1:9" x14ac:dyDescent="0.4">
      <c r="A12" s="5" t="s">
        <v>317</v>
      </c>
      <c r="B12" s="5" t="s">
        <v>318</v>
      </c>
      <c r="C12" s="5" t="s">
        <v>319</v>
      </c>
      <c r="D12" s="10" t="s">
        <v>12</v>
      </c>
      <c r="E12" s="10" t="s">
        <v>14</v>
      </c>
      <c r="F12" s="19">
        <v>46283</v>
      </c>
      <c r="G12" s="11"/>
      <c r="H12" s="11"/>
      <c r="I12" s="11"/>
    </row>
    <row r="13" spans="1:9" x14ac:dyDescent="0.4">
      <c r="A13" s="5" t="s">
        <v>320</v>
      </c>
      <c r="B13" s="5" t="s">
        <v>321</v>
      </c>
      <c r="C13" s="5" t="s">
        <v>322</v>
      </c>
      <c r="D13" s="10" t="s">
        <v>12</v>
      </c>
      <c r="E13" s="10" t="s">
        <v>76</v>
      </c>
      <c r="F13" s="19">
        <v>46283</v>
      </c>
      <c r="G13" s="11"/>
      <c r="H13" s="11"/>
      <c r="I13" s="11"/>
    </row>
    <row r="14" spans="1:9" x14ac:dyDescent="0.4">
      <c r="A14" s="5" t="s">
        <v>323</v>
      </c>
      <c r="B14" s="5" t="s">
        <v>324</v>
      </c>
      <c r="C14" s="5" t="s">
        <v>325</v>
      </c>
      <c r="D14" s="10" t="s">
        <v>12</v>
      </c>
      <c r="E14" s="10" t="s">
        <v>14</v>
      </c>
      <c r="F14" s="19">
        <v>46283</v>
      </c>
      <c r="G14" s="11"/>
      <c r="H14" s="11"/>
      <c r="I14" s="11"/>
    </row>
    <row r="15" spans="1:9" x14ac:dyDescent="0.4">
      <c r="A15" s="5" t="s">
        <v>326</v>
      </c>
      <c r="B15" s="5" t="s">
        <v>327</v>
      </c>
      <c r="C15" s="5" t="s">
        <v>309</v>
      </c>
      <c r="D15" s="10" t="s">
        <v>12</v>
      </c>
      <c r="E15" s="10" t="s">
        <v>18</v>
      </c>
      <c r="F15" s="19">
        <v>46283</v>
      </c>
      <c r="G15" s="11"/>
      <c r="H15" s="11"/>
      <c r="I15" s="11"/>
    </row>
    <row r="16" spans="1:9" x14ac:dyDescent="0.4">
      <c r="A16" s="5" t="s">
        <v>328</v>
      </c>
      <c r="B16" s="5" t="s">
        <v>329</v>
      </c>
      <c r="C16" s="5" t="s">
        <v>309</v>
      </c>
      <c r="D16" s="10" t="s">
        <v>12</v>
      </c>
      <c r="E16" s="10" t="s">
        <v>14</v>
      </c>
      <c r="F16" s="19">
        <v>46283</v>
      </c>
      <c r="G16" s="11"/>
      <c r="H16" s="11"/>
      <c r="I16" s="11"/>
    </row>
    <row r="17" spans="1:9" x14ac:dyDescent="0.4">
      <c r="A17" s="5" t="s">
        <v>330</v>
      </c>
      <c r="B17" s="5" t="s">
        <v>331</v>
      </c>
      <c r="C17" s="5" t="s">
        <v>332</v>
      </c>
      <c r="D17" s="10" t="s">
        <v>12</v>
      </c>
      <c r="E17" s="10" t="s">
        <v>14</v>
      </c>
      <c r="F17" s="19">
        <v>46283</v>
      </c>
      <c r="G17" s="11"/>
      <c r="H17" s="11"/>
      <c r="I17" s="11"/>
    </row>
  </sheetData>
  <autoFilter ref="A5:I17" xr:uid="{00000000-0009-0000-0000-000002000000}"/>
  <mergeCells count="2">
    <mergeCell ref="A3:C3"/>
    <mergeCell ref="A2:C2"/>
  </mergeCells>
  <phoneticPr fontId="4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입력" error="목록에 있는 값만 선택할 수 있습니다." promptTitle="선택" prompt="목록에서 고릅니다." xr:uid="{00000000-0002-0000-0200-000000000000}">
          <x14:formula1>
            <xm:f>목록값!$B$1:$B$3</xm:f>
          </x14:formula1>
          <xm:sqref>D6:D200</xm:sqref>
        </x14:dataValidation>
        <x14:dataValidation type="list" allowBlank="1" showInputMessage="1" showErrorMessage="1" errorTitle="입력" error="목록에 있는 값만 선택할 수 있습니다." promptTitle="선택" prompt="목록에서 고릅니다." xr:uid="{00000000-0002-0000-0200-000001000000}">
          <x14:formula1>
            <xm:f>목록값!$C$1:$C$3</xm:f>
          </x14:formula1>
          <xm:sqref>E6:E200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4"/>
  <sheetViews>
    <sheetView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 activeCell="A2" sqref="A2:C2"/>
    </sheetView>
  </sheetViews>
  <sheetFormatPr defaultRowHeight="17.399999999999999" x14ac:dyDescent="0.4"/>
  <cols>
    <col min="1" max="1" width="13" customWidth="1"/>
    <col min="2" max="2" width="44" customWidth="1"/>
    <col min="3" max="3" width="28.796875" customWidth="1"/>
    <col min="4" max="5" width="12" customWidth="1"/>
    <col min="6" max="9" width="14" customWidth="1"/>
  </cols>
  <sheetData>
    <row r="2" spans="1:9" ht="25.2" customHeight="1" x14ac:dyDescent="0.4">
      <c r="A2" s="30" t="s">
        <v>333</v>
      </c>
      <c r="B2" s="21"/>
      <c r="C2" s="22"/>
    </row>
    <row r="3" spans="1:9" s="7" customFormat="1" ht="15.6" customHeight="1" x14ac:dyDescent="0.4">
      <c r="A3" s="20" t="s">
        <v>334</v>
      </c>
      <c r="B3" s="21"/>
      <c r="C3" s="22"/>
    </row>
    <row r="5" spans="1:9" ht="30" customHeight="1" x14ac:dyDescent="0.4">
      <c r="A5" s="1" t="s">
        <v>335</v>
      </c>
      <c r="B5" s="1" t="s">
        <v>336</v>
      </c>
      <c r="C5" s="1" t="s">
        <v>337</v>
      </c>
      <c r="D5" s="9" t="s">
        <v>3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</row>
    <row r="6" spans="1:9" x14ac:dyDescent="0.4">
      <c r="A6" s="5" t="s">
        <v>338</v>
      </c>
      <c r="B6" s="5" t="s">
        <v>225</v>
      </c>
      <c r="C6" s="5" t="s">
        <v>41</v>
      </c>
      <c r="D6" s="10" t="s">
        <v>12</v>
      </c>
      <c r="E6" s="10" t="s">
        <v>14</v>
      </c>
      <c r="F6" s="19">
        <v>46283</v>
      </c>
      <c r="G6" s="11"/>
      <c r="H6" s="11"/>
      <c r="I6" s="11"/>
    </row>
    <row r="7" spans="1:9" x14ac:dyDescent="0.4">
      <c r="A7" s="5" t="s">
        <v>195</v>
      </c>
      <c r="B7" s="5" t="s">
        <v>193</v>
      </c>
      <c r="C7" s="5" t="s">
        <v>339</v>
      </c>
      <c r="D7" s="10" t="s">
        <v>12</v>
      </c>
      <c r="E7" s="10" t="s">
        <v>18</v>
      </c>
      <c r="F7" s="19">
        <v>46283</v>
      </c>
      <c r="G7" s="11"/>
      <c r="H7" s="11"/>
      <c r="I7" s="11"/>
    </row>
    <row r="8" spans="1:9" x14ac:dyDescent="0.4">
      <c r="A8" s="5" t="s">
        <v>200</v>
      </c>
      <c r="B8" s="5" t="s">
        <v>199</v>
      </c>
      <c r="C8" s="5" t="s">
        <v>339</v>
      </c>
      <c r="D8" s="10" t="s">
        <v>12</v>
      </c>
      <c r="E8" s="10" t="s">
        <v>18</v>
      </c>
      <c r="F8" s="19">
        <v>46283</v>
      </c>
      <c r="G8" s="11"/>
      <c r="H8" s="11"/>
      <c r="I8" s="11"/>
    </row>
    <row r="9" spans="1:9" x14ac:dyDescent="0.4">
      <c r="A9" s="5" t="s">
        <v>340</v>
      </c>
      <c r="B9" s="5" t="s">
        <v>341</v>
      </c>
      <c r="C9" s="5" t="s">
        <v>342</v>
      </c>
      <c r="D9" s="10" t="s">
        <v>12</v>
      </c>
      <c r="E9" s="10" t="s">
        <v>18</v>
      </c>
      <c r="F9" s="19">
        <v>46283</v>
      </c>
      <c r="G9" s="11"/>
      <c r="H9" s="11"/>
      <c r="I9" s="11"/>
    </row>
    <row r="10" spans="1:9" x14ac:dyDescent="0.4">
      <c r="A10" s="5" t="s">
        <v>343</v>
      </c>
      <c r="B10" s="5" t="s">
        <v>344</v>
      </c>
      <c r="C10" s="5" t="s">
        <v>345</v>
      </c>
      <c r="D10" s="10" t="s">
        <v>12</v>
      </c>
      <c r="E10" s="10" t="s">
        <v>14</v>
      </c>
      <c r="F10" s="19">
        <v>46283</v>
      </c>
      <c r="G10" s="11"/>
      <c r="H10" s="11"/>
      <c r="I10" s="11"/>
    </row>
    <row r="11" spans="1:9" x14ac:dyDescent="0.4">
      <c r="A11" s="5" t="s">
        <v>346</v>
      </c>
      <c r="B11" s="5" t="s">
        <v>188</v>
      </c>
      <c r="C11" s="5" t="s">
        <v>347</v>
      </c>
      <c r="D11" s="10" t="s">
        <v>12</v>
      </c>
      <c r="E11" s="10" t="s">
        <v>76</v>
      </c>
      <c r="F11" s="19">
        <v>46283</v>
      </c>
      <c r="G11" s="11"/>
      <c r="H11" s="11"/>
      <c r="I11" s="11"/>
    </row>
    <row r="12" spans="1:9" x14ac:dyDescent="0.4">
      <c r="A12" s="5" t="s">
        <v>348</v>
      </c>
      <c r="B12" s="5" t="s">
        <v>212</v>
      </c>
      <c r="C12" s="5" t="s">
        <v>339</v>
      </c>
      <c r="D12" s="10" t="s">
        <v>12</v>
      </c>
      <c r="E12" s="10" t="s">
        <v>14</v>
      </c>
      <c r="F12" s="19">
        <v>46283</v>
      </c>
      <c r="G12" s="11"/>
      <c r="H12" s="11"/>
      <c r="I12" s="11"/>
    </row>
    <row r="13" spans="1:9" x14ac:dyDescent="0.4">
      <c r="A13" s="5" t="s">
        <v>349</v>
      </c>
      <c r="B13" s="5" t="s">
        <v>350</v>
      </c>
      <c r="C13" s="5" t="s">
        <v>351</v>
      </c>
      <c r="D13" s="10" t="s">
        <v>12</v>
      </c>
      <c r="E13" s="10" t="s">
        <v>14</v>
      </c>
      <c r="F13" s="19">
        <v>46283</v>
      </c>
      <c r="G13" s="11"/>
      <c r="H13" s="11"/>
      <c r="I13" s="11"/>
    </row>
    <row r="14" spans="1:9" x14ac:dyDescent="0.4">
      <c r="A14" s="5" t="s">
        <v>352</v>
      </c>
      <c r="B14" s="5" t="s">
        <v>225</v>
      </c>
      <c r="C14" s="5" t="s">
        <v>351</v>
      </c>
      <c r="D14" s="10" t="s">
        <v>12</v>
      </c>
      <c r="E14" s="10" t="s">
        <v>76</v>
      </c>
      <c r="F14" s="19">
        <v>46283</v>
      </c>
      <c r="G14" s="11"/>
      <c r="H14" s="11"/>
      <c r="I14" s="11"/>
    </row>
  </sheetData>
  <autoFilter ref="A5:I14" xr:uid="{00000000-0009-0000-0000-000003000000}"/>
  <mergeCells count="2">
    <mergeCell ref="A3:C3"/>
    <mergeCell ref="A2:C2"/>
  </mergeCells>
  <phoneticPr fontId="4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입력" error="목록에 있는 값만 선택할 수 있습니다." promptTitle="선택" prompt="목록에서 고릅니다." xr:uid="{00000000-0002-0000-0300-000000000000}">
          <x14:formula1>
            <xm:f>목록값!$B$1:$B$3</xm:f>
          </x14:formula1>
          <xm:sqref>D6:D200</xm:sqref>
        </x14:dataValidation>
        <x14:dataValidation type="list" allowBlank="1" showInputMessage="1" showErrorMessage="1" errorTitle="입력" error="목록에 있는 값만 선택할 수 있습니다." promptTitle="선택" prompt="목록에서 고릅니다." xr:uid="{00000000-0002-0000-0300-000001000000}">
          <x14:formula1>
            <xm:f>목록값!$C$1:$C$3</xm:f>
          </x14:formula1>
          <xm:sqref>E6:E200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8"/>
  <sheetViews>
    <sheetView tabSelected="1" zoomScaleNormal="100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 activeCell="D6" sqref="D6"/>
    </sheetView>
  </sheetViews>
  <sheetFormatPr defaultRowHeight="17.399999999999999" x14ac:dyDescent="0.4"/>
  <cols>
    <col min="1" max="2" width="12" customWidth="1"/>
    <col min="3" max="4" width="55" customWidth="1"/>
    <col min="5" max="5" width="12" customWidth="1"/>
    <col min="6" max="9" width="14" customWidth="1"/>
  </cols>
  <sheetData>
    <row r="2" spans="1:9" ht="25.2" customHeight="1" x14ac:dyDescent="0.4">
      <c r="A2" s="23" t="s">
        <v>0</v>
      </c>
      <c r="B2" s="21"/>
      <c r="C2" s="22"/>
    </row>
    <row r="3" spans="1:9" s="7" customFormat="1" ht="15.6" customHeight="1" x14ac:dyDescent="0.4">
      <c r="A3" s="20" t="s">
        <v>1</v>
      </c>
      <c r="B3" s="21"/>
      <c r="C3" s="22"/>
    </row>
    <row r="5" spans="1:9" ht="30" customHeight="1" x14ac:dyDescent="0.4">
      <c r="A5" s="1" t="s">
        <v>2</v>
      </c>
      <c r="B5" s="1" t="s">
        <v>3</v>
      </c>
      <c r="C5" s="1" t="s">
        <v>4</v>
      </c>
      <c r="D5" s="1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</row>
    <row r="6" spans="1:9" ht="60" customHeight="1" x14ac:dyDescent="0.4">
      <c r="A6" s="2" t="s">
        <v>11</v>
      </c>
      <c r="B6" s="2" t="s">
        <v>12</v>
      </c>
      <c r="C6" s="2" t="s">
        <v>13</v>
      </c>
      <c r="D6" s="2" t="s">
        <v>361</v>
      </c>
      <c r="E6" s="10" t="s">
        <v>14</v>
      </c>
      <c r="F6" s="19">
        <v>46283</v>
      </c>
      <c r="G6" s="19">
        <v>46292</v>
      </c>
      <c r="H6" s="11"/>
      <c r="I6" s="11"/>
    </row>
    <row r="7" spans="1:9" ht="34.799999999999997" customHeight="1" x14ac:dyDescent="0.4">
      <c r="A7" s="2" t="s">
        <v>15</v>
      </c>
      <c r="B7" s="2" t="s">
        <v>16</v>
      </c>
      <c r="C7" s="2"/>
      <c r="D7" s="2" t="s">
        <v>17</v>
      </c>
      <c r="E7" s="10" t="s">
        <v>18</v>
      </c>
      <c r="F7" s="19">
        <v>46283</v>
      </c>
      <c r="G7" s="11"/>
      <c r="H7" s="11"/>
      <c r="I7" s="11"/>
    </row>
    <row r="8" spans="1:9" ht="34.799999999999997" customHeight="1" x14ac:dyDescent="0.4">
      <c r="A8" s="2" t="s">
        <v>19</v>
      </c>
      <c r="B8" s="2" t="s">
        <v>12</v>
      </c>
      <c r="C8" s="2" t="s">
        <v>20</v>
      </c>
      <c r="D8" s="2" t="s">
        <v>21</v>
      </c>
      <c r="E8" s="10" t="s">
        <v>18</v>
      </c>
      <c r="F8" s="19">
        <v>46283</v>
      </c>
      <c r="G8" s="11"/>
      <c r="H8" s="11"/>
      <c r="I8" s="11"/>
    </row>
  </sheetData>
  <autoFilter ref="A5:I8" xr:uid="{00000000-0009-0000-0000-000004000000}"/>
  <mergeCells count="2">
    <mergeCell ref="A3:C3"/>
    <mergeCell ref="A2:C2"/>
  </mergeCells>
  <phoneticPr fontId="4" type="noConversion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입력" error="목록에 있는 값만 선택할 수 있습니다." promptTitle="선택" prompt="목록에서 고릅니다." xr:uid="{00000000-0002-0000-0400-000000000000}">
          <x14:formula1>
            <xm:f>목록값!$C$1:$C$3</xm:f>
          </x14:formula1>
          <xm:sqref>E6:E200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7.399999999999999" x14ac:dyDescent="0.4"/>
  <sheetData>
    <row r="1" spans="1:3" x14ac:dyDescent="0.4">
      <c r="A1" t="s">
        <v>56</v>
      </c>
      <c r="B1" t="s">
        <v>12</v>
      </c>
      <c r="C1" t="s">
        <v>18</v>
      </c>
    </row>
    <row r="2" spans="1:3" x14ac:dyDescent="0.4">
      <c r="A2" t="s">
        <v>239</v>
      </c>
      <c r="B2" t="s">
        <v>91</v>
      </c>
      <c r="C2" t="s">
        <v>14</v>
      </c>
    </row>
    <row r="3" spans="1:3" x14ac:dyDescent="0.4">
      <c r="B3" t="s">
        <v>209</v>
      </c>
      <c r="C3" t="s">
        <v>76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요약</vt:lpstr>
      <vt:lpstr>요구사항 목록</vt:lpstr>
      <vt:lpstr>검증 규칙</vt:lpstr>
      <vt:lpstr>화면 목록</vt:lpstr>
      <vt:lpstr>인터페이스</vt:lpstr>
      <vt:lpstr>목록값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경현 기</cp:lastModifiedBy>
  <dcterms:created xsi:type="dcterms:W3CDTF">2026-09-19T05:30:20Z</dcterms:created>
  <dcterms:modified xsi:type="dcterms:W3CDTF">2026-09-27T07:19:59Z</dcterms:modified>
</cp:coreProperties>
</file>